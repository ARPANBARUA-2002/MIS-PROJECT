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PAN BARUA\Downloads\"/>
    </mc:Choice>
  </mc:AlternateContent>
  <xr:revisionPtr revIDLastSave="0" documentId="13_ncr:1_{CF03B4F8-762B-483E-A8A3-4AA03DD2ABAE}" xr6:coauthVersionLast="47" xr6:coauthVersionMax="47" xr10:uidLastSave="{00000000-0000-0000-0000-000000000000}"/>
  <bookViews>
    <workbookView xWindow="-108" yWindow="-108" windowWidth="23256" windowHeight="12456" activeTab="4" xr2:uid="{27D8676F-097B-43B8-823B-3C8FBD4112E5}"/>
  </bookViews>
  <sheets>
    <sheet name="DETAILS" sheetId="1" r:id="rId1"/>
    <sheet name="WORK" sheetId="2" r:id="rId2"/>
    <sheet name="PERFORMENCE" sheetId="3" r:id="rId3"/>
    <sheet name="SUMMARY" sheetId="4" r:id="rId4"/>
    <sheet name="DASHBOARD" sheetId="6" r:id="rId5"/>
  </sheets>
  <externalReferences>
    <externalReference r:id="rId6"/>
  </externalReferences>
  <definedNames>
    <definedName name="D_Data">DETAILS!$A$1:$I$150</definedName>
    <definedName name="P_Data">PERFORMENCE!$A$1:$J$150</definedName>
    <definedName name="W_Data">WORK!$A$1:$Q$150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/>
</calcChain>
</file>

<file path=xl/sharedStrings.xml><?xml version="1.0" encoding="utf-8"?>
<sst xmlns="http://schemas.openxmlformats.org/spreadsheetml/2006/main" count="2445" uniqueCount="1013">
  <si>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</si>
  <si>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</si>
  <si>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</si>
  <si>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</si>
  <si>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</si>
  <si>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</si>
  <si>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</si>
  <si>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</si>
  <si>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</si>
  <si>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</si>
  <si>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</si>
  <si>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</si>
  <si>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</si>
  <si>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</si>
  <si>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</si>
  <si>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</si>
  <si>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</si>
  <si>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</si>
  <si>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</si>
  <si>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</si>
  <si>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</si>
  <si>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</si>
  <si>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</si>
  <si>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</si>
  <si>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</si>
  <si>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</si>
  <si>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</si>
  <si>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</si>
  <si>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</si>
  <si>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</si>
  <si>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</si>
  <si>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</si>
  <si>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</si>
  <si>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</si>
  <si>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</si>
  <si>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</si>
  <si>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</si>
  <si>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</si>
  <si>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</si>
  <si>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</si>
  <si>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</si>
  <si>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</si>
  <si>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</si>
  <si>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</si>
  <si>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</si>
  <si>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</si>
  <si>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</si>
  <si>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</si>
  <si>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</si>
  <si>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</si>
  <si>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</si>
  <si>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</si>
  <si>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</si>
  <si>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</si>
  <si>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</si>
  <si>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</si>
  <si>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</si>
  <si>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</si>
  <si>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</si>
  <si>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</si>
  <si>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</si>
  <si>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</si>
  <si>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</si>
  <si>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</si>
  <si>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</si>
  <si>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</si>
  <si>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</si>
  <si>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</si>
  <si>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</si>
  <si>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</si>
  <si>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</si>
  <si>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</si>
  <si>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</si>
  <si>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</si>
  <si>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</si>
  <si>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</si>
  <si>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</si>
  <si>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</si>
  <si>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</si>
  <si>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</si>
  <si>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</si>
  <si>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</si>
  <si>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</si>
  <si>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</si>
  <si>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</si>
  <si>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</si>
  <si>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</si>
  <si>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</si>
  <si>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</si>
  <si>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</si>
  <si>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</si>
  <si>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</si>
  <si>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</si>
  <si>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</si>
  <si>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</si>
  <si>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</si>
  <si>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</si>
  <si>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</si>
  <si>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</si>
  <si>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</si>
  <si>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</si>
  <si>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</si>
  <si>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</si>
  <si>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</si>
  <si>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</si>
  <si>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</si>
  <si>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</si>
  <si>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</si>
  <si>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</si>
  <si>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</si>
  <si>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</si>
  <si>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</si>
  <si>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</si>
  <si>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</si>
  <si>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</si>
  <si>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</si>
  <si>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</si>
  <si>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</si>
  <si>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</si>
  <si>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</si>
  <si>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</si>
  <si>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</si>
  <si>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</si>
  <si>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</si>
  <si>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</si>
  <si>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</si>
  <si>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</si>
  <si>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</si>
  <si>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</si>
  <si>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</si>
  <si>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</si>
  <si>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</si>
  <si>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</si>
  <si>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</si>
  <si>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</si>
  <si>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</si>
  <si>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</si>
  <si>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</si>
  <si>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</si>
  <si>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</si>
  <si>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</si>
  <si>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</si>
  <si>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</si>
  <si>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</si>
  <si>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</si>
  <si>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</si>
  <si>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</si>
  <si>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</si>
  <si>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</si>
  <si>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</si>
  <si>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</si>
  <si>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</si>
  <si>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</si>
  <si>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</si>
  <si>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</si>
  <si>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</si>
  <si>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</si>
  <si>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</si>
  <si>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</si>
  <si>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</si>
  <si>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</si>
  <si>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</si>
  <si>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</si>
  <si>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</si>
  <si>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</si>
  <si>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</si>
  <si>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</si>
  <si>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</si>
  <si>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</si>
  <si>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</si>
  <si>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</si>
  <si>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</si>
  <si>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</si>
  <si>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</si>
  <si>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</si>
  <si>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</si>
  <si>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</si>
  <si>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</si>
  <si>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</si>
  <si>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</si>
  <si>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</si>
  <si>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</si>
  <si>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</si>
  <si>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</si>
  <si>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</si>
  <si>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</si>
  <si>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</si>
  <si>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</si>
  <si>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</si>
  <si>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</si>
  <si>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</si>
  <si>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</si>
  <si>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</si>
  <si>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</si>
  <si>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</si>
  <si>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</si>
  <si>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</si>
  <si>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</si>
  <si>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</si>
  <si>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</si>
  <si>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</si>
  <si>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</si>
  <si>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</si>
  <si>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</si>
  <si>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</si>
  <si>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</si>
  <si>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</si>
  <si>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</si>
  <si>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</si>
  <si>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</si>
  <si>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</si>
  <si>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</si>
  <si>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</si>
  <si>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</si>
  <si>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</si>
  <si>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</si>
  <si>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</si>
  <si>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</si>
  <si>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</si>
  <si>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</si>
  <si>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</si>
  <si>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</si>
  <si>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</si>
  <si>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</si>
  <si>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</si>
  <si>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</si>
  <si>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</si>
  <si>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</si>
  <si>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</si>
  <si>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</si>
  <si>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</si>
  <si>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</si>
  <si>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</si>
  <si>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</si>
  <si>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</si>
  <si>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</si>
  <si>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</si>
  <si>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</si>
  <si>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</si>
  <si>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</si>
  <si>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</si>
  <si>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</si>
  <si>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</si>
  <si>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</si>
  <si>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</si>
  <si>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</si>
  <si>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</si>
  <si>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</si>
  <si>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</si>
  <si>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</si>
  <si>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</si>
  <si>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</si>
  <si>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</si>
  <si>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</si>
  <si>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</si>
  <si>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</si>
  <si>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</si>
  <si>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</si>
  <si>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</si>
  <si>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</si>
  <si>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</si>
  <si>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</si>
  <si>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</si>
  <si>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</si>
  <si>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</si>
  <si>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</si>
  <si>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</si>
  <si>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</si>
  <si>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</si>
  <si>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</si>
  <si>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</si>
  <si>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</si>
  <si>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</si>
  <si>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</si>
  <si>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</si>
  <si>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</si>
  <si>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</si>
  <si>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</si>
  <si>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</si>
  <si>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</si>
  <si>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</si>
  <si>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</si>
  <si>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</si>
  <si>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</si>
  <si>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</si>
  <si>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</si>
  <si>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</si>
  <si>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</si>
  <si>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</si>
  <si>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</si>
  <si>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</si>
  <si>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</si>
  <si>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</si>
  <si>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</si>
  <si>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</si>
  <si>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</si>
  <si>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</si>
  <si>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</si>
  <si>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</si>
  <si>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</si>
  <si>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</si>
  <si>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</si>
  <si>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</si>
  <si>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</si>
  <si>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</si>
  <si>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</si>
  <si>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</si>
  <si>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</si>
  <si>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</si>
  <si>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</si>
  <si>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</si>
  <si>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</si>
  <si>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</si>
  <si>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</si>
  <si>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</si>
  <si>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</si>
  <si>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</si>
  <si>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</si>
  <si>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</si>
  <si>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</si>
  <si>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</si>
  <si>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</si>
  <si>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</si>
  <si>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</si>
  <si>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</si>
  <si>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</si>
  <si>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</si>
  <si>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</si>
  <si>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</si>
  <si>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</si>
  <si>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</si>
  <si>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</si>
  <si>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</si>
  <si>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</si>
  <si>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</si>
  <si>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</si>
  <si>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</si>
  <si>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</si>
  <si>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</si>
  <si>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</si>
  <si>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</si>
  <si>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</si>
  <si>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</si>
  <si>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</si>
  <si>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</si>
  <si>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</si>
  <si>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</si>
  <si>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</si>
  <si>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</si>
  <si>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</si>
  <si>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</si>
  <si>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</si>
  <si>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</si>
  <si>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</si>
  <si>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</si>
  <si>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</si>
  <si>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</si>
  <si>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</si>
  <si>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</si>
  <si>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</si>
  <si>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</si>
  <si>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</si>
  <si>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</si>
  <si>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</si>
  <si>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</si>
  <si>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</si>
  <si>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</si>
  <si>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</si>
  <si>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</si>
  <si>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</si>
  <si>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</si>
  <si>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</si>
  <si>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</si>
  <si>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</si>
  <si>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</si>
  <si>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</si>
  <si>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</si>
  <si>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</si>
  <si>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</si>
  <si>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</si>
  <si>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</si>
  <si>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</si>
  <si>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</si>
  <si>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</si>
  <si>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</si>
  <si>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</si>
  <si>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</si>
  <si>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</si>
  <si>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</si>
  <si>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</si>
  <si>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</si>
  <si>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</si>
  <si>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</si>
  <si>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</si>
  <si>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</si>
  <si>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</si>
  <si>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</si>
  <si>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</si>
  <si>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</si>
  <si>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</si>
  <si>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</si>
  <si>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</si>
  <si>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</si>
  <si>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</si>
  <si>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</si>
  <si>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</si>
  <si>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</si>
  <si>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</si>
  <si>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</si>
  <si>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</si>
  <si>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</si>
  <si>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</si>
  <si>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</si>
  <si>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</si>
  <si>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</si>
  <si>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</si>
  <si>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</si>
  <si>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</si>
  <si>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</si>
  <si>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</si>
  <si>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</si>
  <si>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</si>
  <si>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</si>
  <si>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</si>
  <si>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</si>
  <si>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</si>
  <si>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</si>
  <si>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</si>
  <si>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</si>
  <si>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</si>
  <si>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</si>
  <si>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</si>
  <si>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</si>
  <si>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</si>
  <si>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</si>
  <si>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</si>
  <si>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</si>
  <si>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</si>
  <si>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</si>
  <si>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</si>
  <si>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</si>
  <si>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</si>
  <si>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</si>
  <si>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</si>
  <si>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</si>
  <si>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</si>
  <si>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</si>
  <si>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</si>
  <si>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</si>
  <si>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</si>
  <si>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</si>
  <si>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</si>
  <si>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</si>
  <si>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</si>
  <si>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</si>
  <si>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</si>
  <si>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</si>
  <si>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</si>
  <si>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</si>
  <si>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</si>
  <si>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</si>
  <si>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</si>
  <si>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</si>
  <si>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</si>
  <si>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</si>
  <si>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</si>
  <si>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</si>
  <si>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</si>
  <si>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</si>
  <si>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</si>
  <si>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</si>
  <si>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</si>
  <si>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</si>
  <si>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</si>
  <si>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</si>
  <si>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</si>
  <si>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</si>
  <si>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</si>
  <si>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</si>
  <si>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</si>
  <si>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</si>
  <si>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</si>
  <si>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</si>
  <si>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</si>
  <si>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</si>
  <si>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</si>
  <si>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</si>
  <si>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</si>
  <si>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</si>
  <si>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</si>
  <si>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</si>
  <si>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</si>
  <si>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</si>
  <si>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</si>
  <si>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</si>
  <si>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</si>
  <si>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</si>
  <si>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</si>
  <si>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</si>
  <si>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</si>
  <si>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</si>
  <si>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</si>
  <si>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</si>
  <si>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</si>
  <si>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</si>
  <si>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</si>
  <si>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</si>
  <si>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</si>
  <si>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</si>
  <si>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</si>
  <si>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</si>
  <si>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</si>
  <si>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</si>
  <si>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</si>
  <si>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</si>
  <si>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</si>
  <si>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</si>
  <si>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</si>
  <si>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</si>
  <si>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</si>
  <si>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</si>
  <si>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</si>
  <si>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</si>
  <si>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</si>
  <si>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</si>
  <si>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</si>
  <si>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</si>
  <si>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</si>
  <si>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</si>
  <si>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</si>
  <si>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</si>
  <si>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</si>
  <si>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</si>
  <si>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</si>
  <si>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</si>
  <si>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</si>
  <si>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</si>
  <si>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</si>
  <si>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</si>
  <si>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</si>
  <si>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</si>
  <si>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</si>
  <si>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</si>
  <si>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</si>
  <si>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</si>
  <si>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</si>
  <si>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</si>
  <si>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</si>
  <si>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</si>
  <si>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</si>
  <si>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</si>
  <si>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</si>
  <si>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</si>
  <si>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</si>
  <si>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</si>
  <si>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</si>
  <si>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</si>
  <si>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</si>
  <si>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</si>
  <si>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</si>
  <si>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</si>
  <si>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</si>
  <si>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</si>
  <si>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</si>
  <si>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</si>
  <si>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</si>
  <si>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</si>
  <si>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</si>
  <si>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</si>
  <si>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</si>
  <si>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</si>
  <si>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</si>
  <si>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</si>
  <si>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</si>
  <si>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</si>
  <si>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</si>
  <si>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</si>
  <si>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</si>
  <si>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</si>
  <si>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</si>
  <si>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</si>
  <si>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</si>
  <si>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</si>
  <si>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</si>
  <si>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</si>
  <si>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</si>
  <si>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</si>
  <si>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</si>
  <si>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</si>
  <si>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</si>
  <si>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</si>
  <si>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</si>
  <si>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</si>
  <si>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</si>
  <si>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</si>
  <si>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</si>
  <si>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</si>
  <si>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</si>
  <si>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</si>
  <si>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</si>
  <si>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</si>
  <si>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</si>
  <si>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</si>
  <si>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</si>
  <si>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</si>
  <si>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</si>
  <si>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</si>
  <si>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</si>
  <si>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</si>
  <si>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</si>
  <si>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</si>
  <si>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</si>
  <si>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</si>
  <si>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</si>
  <si>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</si>
  <si>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</si>
  <si>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</si>
  <si>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</si>
  <si>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</si>
  <si>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</si>
  <si>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</si>
  <si>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</si>
  <si>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</si>
  <si>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</si>
  <si>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</si>
  <si>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</si>
  <si>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</si>
  <si>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</si>
  <si>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</si>
  <si>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</si>
  <si>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</si>
  <si>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</si>
  <si>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</si>
  <si>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</si>
  <si>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</si>
  <si>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</si>
  <si>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</si>
  <si>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</si>
  <si>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</si>
  <si>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</si>
  <si>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</si>
  <si>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</si>
  <si>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</si>
  <si>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</si>
  <si>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</si>
  <si>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</si>
  <si>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</si>
  <si>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</si>
  <si>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</si>
  <si>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</si>
  <si>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</si>
  <si>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</si>
  <si>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</si>
  <si>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</si>
  <si>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</si>
  <si>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</si>
  <si>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</si>
  <si>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</si>
  <si>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</si>
  <si>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</si>
  <si>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</si>
  <si>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</si>
  <si>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</si>
  <si>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</si>
  <si>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</si>
  <si>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</si>
  <si>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</si>
  <si>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</si>
  <si>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</si>
  <si>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</si>
  <si>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</si>
  <si>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</si>
  <si>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</si>
  <si>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</si>
  <si>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</si>
  <si>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</si>
  <si>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</si>
  <si>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</si>
  <si>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</si>
  <si>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</si>
  <si>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</si>
  <si>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</si>
  <si>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</si>
  <si>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</si>
  <si>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</si>
  <si>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</si>
  <si>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</si>
  <si>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</si>
  <si>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</si>
  <si>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</si>
  <si>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</si>
  <si>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</si>
  <si>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</si>
  <si>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</si>
  <si>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</si>
  <si>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</si>
  <si>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</si>
  <si>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</si>
  <si>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</si>
  <si>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</si>
  <si>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</si>
  <si>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</si>
  <si>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</si>
  <si>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</si>
  <si>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</si>
  <si>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</si>
  <si>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</si>
  <si>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</si>
  <si>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</si>
  <si>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</si>
  <si>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</si>
  <si>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</si>
  <si>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</si>
  <si>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</si>
  <si>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</si>
  <si>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</si>
  <si>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</si>
  <si>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</si>
  <si>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</si>
  <si>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</si>
  <si>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</si>
  <si>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</si>
  <si>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</si>
  <si>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</si>
  <si>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</si>
  <si>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</si>
  <si>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</si>
  <si>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</si>
  <si>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</si>
  <si>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</si>
  <si>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</si>
  <si>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</si>
  <si>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</si>
  <si>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</si>
  <si>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</si>
  <si>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</si>
  <si>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</si>
  <si>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</si>
  <si>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</si>
  <si>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</si>
  <si>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</si>
  <si>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</si>
  <si>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</si>
  <si>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</si>
  <si>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</si>
  <si>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</si>
  <si>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</si>
  <si>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</si>
  <si>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</si>
  <si>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</si>
  <si>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</si>
  <si>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</si>
  <si>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</si>
  <si>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</si>
  <si>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</si>
  <si>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</si>
  <si>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</si>
  <si>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</si>
  <si>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</si>
  <si>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</si>
  <si>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</si>
  <si>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</si>
  <si>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</si>
  <si>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</si>
  <si>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</si>
  <si>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</si>
  <si>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</si>
  <si>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</si>
  <si>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</si>
  <si>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</si>
  <si>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</si>
  <si>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</si>
  <si>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</si>
  <si>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</si>
  <si>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</si>
  <si>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</si>
  <si>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</si>
  <si>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</si>
  <si>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</si>
  <si>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</si>
  <si>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</si>
  <si>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</si>
  <si>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</si>
  <si>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</si>
  <si>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</si>
  <si>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</si>
  <si>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</si>
  <si>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</si>
  <si>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</si>
  <si>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</si>
  <si>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</si>
  <si>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</si>
  <si>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</si>
  <si>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</si>
  <si>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</si>
  <si>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</si>
  <si>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</si>
  <si>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</si>
  <si>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</si>
  <si>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</si>
  <si>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</si>
  <si>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</si>
  <si>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</si>
  <si>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</si>
  <si>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</si>
  <si>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</si>
  <si>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</si>
  <si>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</si>
  <si>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</si>
  <si>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</si>
  <si>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</si>
  <si>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</si>
  <si>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</si>
  <si>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</si>
  <si>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</si>
  <si>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</si>
  <si>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</si>
  <si>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</si>
  <si>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</si>
  <si>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</si>
  <si>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</si>
  <si>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</si>
  <si>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</si>
  <si>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</si>
  <si>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</si>
  <si>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</si>
  <si>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</si>
  <si>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</si>
  <si>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</si>
  <si>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</si>
  <si>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</si>
  <si>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</si>
  <si>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</si>
  <si>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</si>
  <si>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</si>
  <si>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</si>
  <si>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</si>
  <si>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</si>
  <si>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</si>
  <si>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</si>
  <si>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</si>
  <si>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</si>
  <si>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</si>
  <si>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</si>
  <si>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</si>
  <si>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</si>
  <si>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</si>
  <si>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</si>
  <si>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</si>
  <si>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</si>
  <si>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</si>
  <si>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</si>
  <si>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</si>
  <si>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</si>
  <si>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</si>
  <si>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</si>
  <si>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</si>
  <si>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</si>
  <si>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</si>
  <si>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</si>
  <si>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</si>
  <si>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</si>
  <si>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</si>
  <si>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</si>
  <si>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</si>
  <si>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</si>
  <si>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</si>
  <si>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</si>
  <si>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</si>
  <si>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</si>
  <si>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</si>
  <si>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</si>
  <si>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</si>
  <si>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</si>
  <si>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</si>
  <si>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</si>
  <si>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</si>
  <si>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</si>
  <si>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</si>
  <si>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</si>
  <si>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</si>
  <si>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</si>
  <si>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</si>
  <si>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</si>
  <si>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</si>
  <si>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</si>
  <si>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</si>
  <si>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</si>
  <si>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</si>
  <si>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</si>
  <si>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</si>
  <si>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</si>
  <si>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</si>
  <si>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</si>
  <si>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</si>
  <si>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</si>
  <si>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</si>
  <si>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</si>
  <si>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</si>
  <si>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</si>
  <si>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</si>
  <si>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</si>
  <si>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</si>
  <si>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</si>
  <si>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</si>
  <si>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</si>
  <si>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</si>
  <si>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</si>
  <si>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</si>
  <si>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</si>
  <si>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</si>
  <si>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</si>
  <si>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</si>
  <si>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</si>
  <si>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</si>
  <si>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</si>
  <si>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</si>
  <si>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</si>
  <si>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</si>
  <si>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</si>
  <si>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</si>
  <si>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</si>
  <si>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</si>
  <si>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</si>
  <si>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</si>
  <si>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</si>
  <si>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</si>
  <si>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</si>
  <si>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</si>
  <si>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</si>
  <si>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</si>
  <si>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</si>
  <si>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</si>
  <si>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</si>
  <si>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</si>
  <si>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</si>
  <si>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</si>
  <si>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</si>
  <si>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</si>
  <si>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</si>
  <si>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</si>
  <si>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</si>
  <si>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</si>
  <si>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</si>
  <si>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</si>
  <si>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</si>
  <si>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</si>
  <si>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</si>
  <si>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</si>
  <si>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</si>
  <si>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</si>
  <si>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</si>
  <si>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</si>
  <si>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</si>
  <si>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</si>
  <si>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</si>
  <si>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</si>
  <si>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</si>
  <si>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</si>
  <si>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</si>
  <si>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</si>
  <si>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</si>
  <si>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</si>
  <si>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</si>
  <si>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</si>
  <si>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</si>
  <si>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</si>
  <si>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</si>
  <si>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</si>
  <si>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</si>
  <si>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</si>
  <si>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</si>
  <si>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</si>
  <si>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</si>
  <si>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</si>
  <si>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</si>
  <si>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</si>
  <si>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</si>
  <si>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</si>
  <si>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</si>
  <si>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</si>
  <si>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</si>
  <si>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</si>
  <si>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</si>
  <si>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</si>
  <si>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</si>
  <si>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</si>
  <si>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</si>
  <si>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</si>
  <si>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</si>
  <si>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</si>
  <si>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</si>
  <si>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</si>
  <si>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</si>
  <si>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</si>
  <si>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</si>
  <si>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</si>
  <si>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</si>
  <si>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</si>
  <si>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</si>
  <si>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</si>
  <si>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</si>
  <si>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</si>
  <si>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</si>
  <si>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Ashok Kumar</t>
  </si>
  <si>
    <t>Manoj Kumar</t>
  </si>
  <si>
    <t>Rajesh Kumar</t>
  </si>
  <si>
    <t>Santosh Kumar</t>
  </si>
  <si>
    <t>Sunil Kumar</t>
  </si>
  <si>
    <t>Employee Total Number of Woking Hours</t>
  </si>
  <si>
    <t>Report 1 : Working Hours</t>
  </si>
  <si>
    <t>Sum of Active With Cust.</t>
  </si>
  <si>
    <t>Report 2 : Active with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</si>
</sst>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[$-14009]hh:mm:ss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sz val="16"/>
      <color theme="0"/>
      <name val="Bookman Old Style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2" fillId="2" borderId="1" xfId="0" applyNumberFormat="1" applyFont="1" applyFill="1" applyBorder="1" applyAlignment="1">
      <alignment horizontal="center" vertical="top"/>
    </xf>
    <xf numFmtId="0" fontId="3" fillId="0" borderId="0" xfId="0" applyFont="1"/>
    <xf numFmtId="49" fontId="4" fillId="0" borderId="2" xfId="0" applyNumberFormat="1" applyFont="1" applyBorder="1" applyAlignment="1">
      <alignment horizontal="right" vertical="top" wrapText="1"/>
    </xf>
    <xf numFmtId="49" fontId="2" fillId="2" borderId="1" xfId="0" applyNumberFormat="1" applyFont="1" applyFill="1" applyBorder="1" applyAlignment="1">
      <alignment horizontal="center" vertical="top" wrapText="1"/>
    </xf>
    <xf numFmtId="3" fontId="4" fillId="0" borderId="2" xfId="0" applyNumberFormat="1" applyFont="1" applyBorder="1" applyAlignment="1">
      <alignment horizontal="right" vertical="top" wrapText="1"/>
    </xf>
    <xf numFmtId="164" fontId="4" fillId="0" borderId="2" xfId="0" applyNumberFormat="1" applyFont="1" applyBorder="1" applyAlignment="1">
      <alignment horizontal="right" vertical="top" wrapText="1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 wrapText="1"/>
    </xf>
    <xf numFmtId="165" fontId="1" fillId="3" borderId="3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165" fontId="5" fillId="3" borderId="1" xfId="0" applyNumberFormat="1" applyFont="1" applyFill="1" applyBorder="1" applyAlignment="1">
      <alignment horizontal="center" vertical="center" wrapText="1"/>
    </xf>
    <xf numFmtId="9" fontId="5" fillId="3" borderId="1" xfId="0" applyNumberFormat="1" applyFont="1" applyFill="1" applyBorder="1" applyAlignment="1">
      <alignment horizontal="center" vertical="center" wrapText="1"/>
    </xf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0" fillId="4" borderId="0" xfId="0" applyFill="1"/>
    <xf numFmtId="0" fontId="6" fillId="6" borderId="0" xfId="0" applyFont="1" applyFill="1"/>
    <xf numFmtId="0" fontId="6" fillId="0" borderId="0" xfId="0" applyFont="1"/>
    <xf numFmtId="0" fontId="7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[MIS_PROJECT.xlsx.xlsm]DASHBOARD!PivotTable1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DASHBOARD!$A$7:$A$11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DASHBOARD!$B$7:$B$11</c:f>
              <c:numCache>
                <c:formatCode>[$-14009]hh:mm:ss;@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A-49F3-B09D-42AEAFC80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8723472"/>
        <c:axId val="928719632"/>
      </c:barChart>
      <c:catAx>
        <c:axId val="92872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719632"/>
        <c:crosses val="autoZero"/>
        <c:auto val="1"/>
        <c:lblAlgn val="ctr"/>
        <c:lblOffset val="100"/>
        <c:noMultiLvlLbl val="0"/>
      </c:catAx>
      <c:valAx>
        <c:axId val="928719632"/>
        <c:scaling>
          <c:orientation val="minMax"/>
        </c:scaling>
        <c:delete val="1"/>
        <c:axPos val="l"/>
        <c:numFmt formatCode="[$-14009]hh:mm:ss;@" sourceLinked="1"/>
        <c:majorTickMark val="none"/>
        <c:minorTickMark val="none"/>
        <c:tickLblPos val="nextTo"/>
        <c:crossAx val="92872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[MIS_PROJECT.xlsx.xlsm]DASHBOARD!PivotTable3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DASHBOARD!$H$6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769-46E3-AD75-DC6C25AACC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769-46E3-AD75-DC6C25AACC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769-46E3-AD75-DC6C25AACC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769-46E3-AD75-DC6C25AACC3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769-46E3-AD75-DC6C25AACC3C}"/>
              </c:ext>
            </c:extLst>
          </c:dPt>
          <c:cat>
            <c:strRef>
              <c:f>DASHBOARD!$G$7:$G$11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DASHBOARD!$H$7:$H$11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20-4FDD-B352-35FB05022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150" min="1" page="10" val="5"/>
</file>

<file path=xl/ctrlProps/ctrlProp2.xml><?xml version="1.0" encoding="utf-8"?>
<formControlPr xmlns="http://schemas.microsoft.com/office/spreadsheetml/2009/9/main" objectType="Spin" dx="26" fmlaLink="$F$1" max="150" min="1" page="10" val="5"/>
</file>

<file path=xl/ctrlProps/ctrlProp3.xml><?xml version="1.0" encoding="utf-8"?>
<formControlPr xmlns="http://schemas.microsoft.com/office/spreadsheetml/2009/9/main" objectType="Spin" dx="26" fmlaLink="$C$1" max="150" min="1" page="10" val="5"/>
</file>

<file path=xl/ctrlProps/ctrlProp4.xml><?xml version="1.0" encoding="utf-8"?>
<formControlPr xmlns="http://schemas.microsoft.com/office/spreadsheetml/2009/9/main" objectType="Spin" dx="26" fmlaLink="$F$1" max="15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1371600</xdr:colOff>
      <xdr:row>0</xdr:row>
      <xdr:rowOff>106680</xdr:rowOff>
    </xdr:from>
    <xdr:to>
      <xdr:col>1</xdr:col>
      <xdr:colOff>2004060</xdr:colOff>
      <xdr:row>2</xdr:row>
      <xdr:rowOff>126120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1DB0539-9D86-5FFC-BDDD-2C68AB1B6B9E}"/>
            </a:ext>
          </a:extLst>
        </xdr:cNvPr>
        <xdr:cNvSpPr/>
      </xdr:nvSpPr>
      <xdr:spPr>
        <a:xfrm>
          <a:off x="2278380" y="106680"/>
          <a:ext cx="632460" cy="385200"/>
        </a:xfrm>
        <a:prstGeom prst="rect">
          <a:avLst/>
        </a:prstGeom>
        <a:solidFill>
          <a:srgbClr val="92D050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F0837E16-CA03-4C6B-A846-6472378B6DB0}" type="TxLink">
            <a:rPr lang="en-US" sz="2000" b="0" i="0" u="none" strike="noStrike">
              <a:solidFill>
                <a:srgbClr val="000000"/>
              </a:solidFill>
              <a:latin typeface="+mn-lt"/>
              <a:ea typeface="Calibri"/>
              <a:cs typeface="Arial" panose="020B0604020202020204" pitchFamily="34" charset="0"/>
            </a:rPr>
            <a:pPr marL="0" indent="0" algn="r"/>
            <a:t>5</a:t>
          </a:fld>
          <a:endParaRPr lang="en-IN" sz="2000" b="0" i="0" u="none" strike="noStrike">
            <a:solidFill>
              <a:srgbClr val="000000"/>
            </a:solidFill>
            <a:latin typeface="+mn-lt"/>
            <a:ea typeface="Calibri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0</xdr:colOff>
      <xdr:row>11</xdr:row>
      <xdr:rowOff>160020</xdr:rowOff>
    </xdr:from>
    <xdr:to>
      <xdr:col>3</xdr:col>
      <xdr:colOff>441960</xdr:colOff>
      <xdr:row>26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5713E2-0653-02AB-2602-91682AF1E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563880</xdr:colOff>
          <xdr:row>12</xdr:row>
          <xdr:rowOff>83820</xdr:rowOff>
        </xdr:from>
        <xdr:to>
          <xdr:col>3</xdr:col>
          <xdr:colOff>220980</xdr:colOff>
          <xdr:row>14</xdr:row>
          <xdr:rowOff>83820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45720</xdr:colOff>
      <xdr:row>0</xdr:row>
      <xdr:rowOff>83820</xdr:rowOff>
    </xdr:from>
    <xdr:to>
      <xdr:col>0</xdr:col>
      <xdr:colOff>845820</xdr:colOff>
      <xdr:row>2</xdr:row>
      <xdr:rowOff>126492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2B88E6D-C328-ABAC-5288-5C2CBF81DC74}"/>
            </a:ext>
          </a:extLst>
        </xdr:cNvPr>
        <xdr:cNvSpPr/>
      </xdr:nvSpPr>
      <xdr:spPr>
        <a:xfrm>
          <a:off x="45720" y="83820"/>
          <a:ext cx="800100" cy="408432"/>
        </a:xfrm>
        <a:prstGeom prst="rightArrow">
          <a:avLst>
            <a:gd name="adj1" fmla="val 96269"/>
            <a:gd name="adj2" fmla="val 37844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N" sz="1000">
              <a:solidFill>
                <a:schemeClr val="bg1"/>
              </a:solidFill>
            </a:rPr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1379220</xdr:colOff>
          <xdr:row>0</xdr:row>
          <xdr:rowOff>121920</xdr:rowOff>
        </xdr:from>
        <xdr:to>
          <xdr:col>1</xdr:col>
          <xdr:colOff>1645920</xdr:colOff>
          <xdr:row>2</xdr:row>
          <xdr:rowOff>121920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2270760</xdr:colOff>
      <xdr:row>0</xdr:row>
      <xdr:rowOff>83820</xdr:rowOff>
    </xdr:from>
    <xdr:to>
      <xdr:col>1</xdr:col>
      <xdr:colOff>3116580</xdr:colOff>
      <xdr:row>2</xdr:row>
      <xdr:rowOff>129540</xdr:rowOff>
    </xdr:to>
    <xdr:sp macro="" textlink="">
      <xdr:nvSpPr>
        <xdr:cNvPr id="16" name="Arrow: Right 15">
          <a:extLst>
            <a:ext uri="{FF2B5EF4-FFF2-40B4-BE49-F238E27FC236}">
              <a16:creationId xmlns:a16="http://schemas.microsoft.com/office/drawing/2014/main" id="{3FF13DB7-8F5F-4A89-AD8D-727276C178A1}"/>
            </a:ext>
          </a:extLst>
        </xdr:cNvPr>
        <xdr:cNvSpPr/>
      </xdr:nvSpPr>
      <xdr:spPr>
        <a:xfrm flipH="1">
          <a:off x="3177540" y="83820"/>
          <a:ext cx="845820" cy="411480"/>
        </a:xfrm>
        <a:prstGeom prst="rightArrow">
          <a:avLst>
            <a:gd name="adj1" fmla="val 96269"/>
            <a:gd name="adj2" fmla="val 39793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N" sz="1000">
              <a:solidFill>
                <a:schemeClr val="bg1"/>
              </a:solidFill>
            </a:rPr>
            <a:t>RECORDS</a:t>
          </a:r>
        </a:p>
      </xdr:txBody>
    </xdr:sp>
    <xdr:clientData/>
  </xdr:twoCellAnchor>
  <xdr:twoCellAnchor editAs="oneCell">
    <xdr:from>
      <xdr:col>1</xdr:col>
      <xdr:colOff>297180</xdr:colOff>
      <xdr:row>0</xdr:row>
      <xdr:rowOff>99060</xdr:rowOff>
    </xdr:from>
    <xdr:to>
      <xdr:col>1</xdr:col>
      <xdr:colOff>948780</xdr:colOff>
      <xdr:row>2</xdr:row>
      <xdr:rowOff>114300</xdr:rowOff>
    </xdr:to>
    <xdr:pic macro="[0]!Hide_Chart1">
      <xdr:nvPicPr>
        <xdr:cNvPr id="10" name="Picture 9">
          <a:extLst>
            <a:ext uri="{FF2B5EF4-FFF2-40B4-BE49-F238E27FC236}">
              <a16:creationId xmlns:a16="http://schemas.microsoft.com/office/drawing/2014/main" id="{86187946-3757-48F4-6B8B-C82DCFE0D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960" y="99060"/>
          <a:ext cx="651600" cy="381000"/>
        </a:xfrm>
        <a:prstGeom prst="rect">
          <a:avLst/>
        </a:prstGeom>
        <a:ln w="12700"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281940</xdr:colOff>
      <xdr:row>0</xdr:row>
      <xdr:rowOff>102937</xdr:rowOff>
    </xdr:from>
    <xdr:to>
      <xdr:col>1</xdr:col>
      <xdr:colOff>933540</xdr:colOff>
      <xdr:row>2</xdr:row>
      <xdr:rowOff>127313</xdr:rowOff>
    </xdr:to>
    <xdr:pic macro="[0]!Show_Chart1">
      <xdr:nvPicPr>
        <xdr:cNvPr id="12" name="Picture 11" hidden="1">
          <a:extLst>
            <a:ext uri="{FF2B5EF4-FFF2-40B4-BE49-F238E27FC236}">
              <a16:creationId xmlns:a16="http://schemas.microsoft.com/office/drawing/2014/main" id="{D1D03D09-6DC7-1960-097D-B001491AD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8720" y="102937"/>
          <a:ext cx="651600" cy="390136"/>
        </a:xfrm>
        <a:prstGeom prst="rect">
          <a:avLst/>
        </a:prstGeom>
        <a:ln w="12700">
          <a:solidFill>
            <a:sysClr val="windowText" lastClr="000000"/>
          </a:solidFill>
        </a:ln>
      </xdr:spPr>
    </xdr:pic>
    <xdr:clientData/>
  </xdr:twoCellAnchor>
  <xdr:twoCellAnchor>
    <xdr:from>
      <xdr:col>7</xdr:col>
      <xdr:colOff>434340</xdr:colOff>
      <xdr:row>0</xdr:row>
      <xdr:rowOff>114300</xdr:rowOff>
    </xdr:from>
    <xdr:to>
      <xdr:col>7</xdr:col>
      <xdr:colOff>1066800</xdr:colOff>
      <xdr:row>2</xdr:row>
      <xdr:rowOff>133740</xdr:rowOff>
    </xdr:to>
    <xdr:sp macro="" textlink="$F$1">
      <xdr:nvSpPr>
        <xdr:cNvPr id="19" name="Rectangle 18">
          <a:extLst>
            <a:ext uri="{FF2B5EF4-FFF2-40B4-BE49-F238E27FC236}">
              <a16:creationId xmlns:a16="http://schemas.microsoft.com/office/drawing/2014/main" id="{C27E05A7-ED3C-46A0-90B1-2499D7A993C1}"/>
            </a:ext>
          </a:extLst>
        </xdr:cNvPr>
        <xdr:cNvSpPr/>
      </xdr:nvSpPr>
      <xdr:spPr>
        <a:xfrm>
          <a:off x="8534400" y="114300"/>
          <a:ext cx="632460" cy="385200"/>
        </a:xfrm>
        <a:prstGeom prst="rect">
          <a:avLst/>
        </a:prstGeom>
        <a:solidFill>
          <a:srgbClr val="92D050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BDF762CC-888C-43A6-8BBC-46A34C2B19A2}" type="TxLink">
            <a:rPr lang="en-US" sz="2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</a:t>
          </a:fld>
          <a:endParaRPr lang="en-IN" sz="2000" b="0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45720</xdr:colOff>
      <xdr:row>0</xdr:row>
      <xdr:rowOff>83820</xdr:rowOff>
    </xdr:from>
    <xdr:to>
      <xdr:col>6</xdr:col>
      <xdr:colOff>845820</xdr:colOff>
      <xdr:row>2</xdr:row>
      <xdr:rowOff>126492</xdr:rowOff>
    </xdr:to>
    <xdr:sp macro="" textlink="">
      <xdr:nvSpPr>
        <xdr:cNvPr id="20" name="Arrow: Right 19">
          <a:extLst>
            <a:ext uri="{FF2B5EF4-FFF2-40B4-BE49-F238E27FC236}">
              <a16:creationId xmlns:a16="http://schemas.microsoft.com/office/drawing/2014/main" id="{B47067F8-A877-43F1-AA45-F9BBD3C3AA1B}"/>
            </a:ext>
          </a:extLst>
        </xdr:cNvPr>
        <xdr:cNvSpPr/>
      </xdr:nvSpPr>
      <xdr:spPr>
        <a:xfrm>
          <a:off x="45720" y="83820"/>
          <a:ext cx="800100" cy="408432"/>
        </a:xfrm>
        <a:prstGeom prst="rightArrow">
          <a:avLst>
            <a:gd name="adj1" fmla="val 96269"/>
            <a:gd name="adj2" fmla="val 37844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N" sz="1000">
              <a:solidFill>
                <a:schemeClr val="bg1"/>
              </a:solidFill>
            </a:rPr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0</xdr:row>
          <xdr:rowOff>121920</xdr:rowOff>
        </xdr:from>
        <xdr:to>
          <xdr:col>7</xdr:col>
          <xdr:colOff>716280</xdr:colOff>
          <xdr:row>2</xdr:row>
          <xdr:rowOff>121920</xdr:rowOff>
        </xdr:to>
        <xdr:sp macro="" textlink="">
          <xdr:nvSpPr>
            <xdr:cNvPr id="5132" name="Spinner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1196340</xdr:colOff>
      <xdr:row>0</xdr:row>
      <xdr:rowOff>76200</xdr:rowOff>
    </xdr:from>
    <xdr:to>
      <xdr:col>7</xdr:col>
      <xdr:colOff>2042160</xdr:colOff>
      <xdr:row>2</xdr:row>
      <xdr:rowOff>121920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18882DDF-3D9B-4013-8EF0-33B56DA99270}"/>
            </a:ext>
          </a:extLst>
        </xdr:cNvPr>
        <xdr:cNvSpPr/>
      </xdr:nvSpPr>
      <xdr:spPr>
        <a:xfrm flipH="1">
          <a:off x="9296400" y="76200"/>
          <a:ext cx="845820" cy="411480"/>
        </a:xfrm>
        <a:prstGeom prst="rightArrow">
          <a:avLst>
            <a:gd name="adj1" fmla="val 96269"/>
            <a:gd name="adj2" fmla="val 39793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n-IN" sz="1000">
              <a:solidFill>
                <a:schemeClr val="bg1"/>
              </a:solidFill>
            </a:rPr>
            <a:t>RECORDS</a:t>
          </a:r>
        </a:p>
      </xdr:txBody>
    </xdr:sp>
    <xdr:clientData/>
  </xdr:twoCellAnchor>
  <xdr:oneCellAnchor>
    <xdr:from>
      <xdr:col>6</xdr:col>
      <xdr:colOff>1074420</xdr:colOff>
      <xdr:row>0</xdr:row>
      <xdr:rowOff>106680</xdr:rowOff>
    </xdr:from>
    <xdr:ext cx="651600" cy="381000"/>
    <xdr:pic macro="[0]!Hide_Chart25">
      <xdr:nvPicPr>
        <xdr:cNvPr id="22" name="Picture 21">
          <a:extLst>
            <a:ext uri="{FF2B5EF4-FFF2-40B4-BE49-F238E27FC236}">
              <a16:creationId xmlns:a16="http://schemas.microsoft.com/office/drawing/2014/main" id="{15492224-E3AA-437E-872B-29A64F864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73340" y="106680"/>
          <a:ext cx="651600" cy="381000"/>
        </a:xfrm>
        <a:prstGeom prst="rect">
          <a:avLst/>
        </a:prstGeom>
        <a:ln w="12700">
          <a:solidFill>
            <a:sysClr val="windowText" lastClr="000000"/>
          </a:solidFill>
        </a:ln>
      </xdr:spPr>
    </xdr:pic>
    <xdr:clientData/>
  </xdr:oneCellAnchor>
  <xdr:oneCellAnchor>
    <xdr:from>
      <xdr:col>7</xdr:col>
      <xdr:colOff>53341</xdr:colOff>
      <xdr:row>0</xdr:row>
      <xdr:rowOff>110557</xdr:rowOff>
    </xdr:from>
    <xdr:ext cx="655319" cy="392363"/>
    <xdr:pic macro="[0]!Show_Chart1">
      <xdr:nvPicPr>
        <xdr:cNvPr id="23" name="Picture 22" hidden="1">
          <a:extLst>
            <a:ext uri="{FF2B5EF4-FFF2-40B4-BE49-F238E27FC236}">
              <a16:creationId xmlns:a16="http://schemas.microsoft.com/office/drawing/2014/main" id="{F6A29E91-9818-4064-BFA5-65FD6D79E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1" y="110557"/>
          <a:ext cx="655319" cy="392363"/>
        </a:xfrm>
        <a:prstGeom prst="rect">
          <a:avLst/>
        </a:prstGeom>
        <a:ln w="12700">
          <a:solidFill>
            <a:sysClr val="windowText" lastClr="000000"/>
          </a:solidFill>
        </a:ln>
      </xdr:spPr>
    </xdr:pic>
    <xdr:clientData/>
  </xdr:oneCellAnchor>
  <xdr:twoCellAnchor editAs="oneCell">
    <xdr:from>
      <xdr:col>6</xdr:col>
      <xdr:colOff>1066800</xdr:colOff>
      <xdr:row>0</xdr:row>
      <xdr:rowOff>106680</xdr:rowOff>
    </xdr:from>
    <xdr:to>
      <xdr:col>7</xdr:col>
      <xdr:colOff>220979</xdr:colOff>
      <xdr:row>2</xdr:row>
      <xdr:rowOff>133283</xdr:rowOff>
    </xdr:to>
    <xdr:pic macro="[0]!Show_Chart25">
      <xdr:nvPicPr>
        <xdr:cNvPr id="25" name="Picture 24" hidden="1">
          <a:extLst>
            <a:ext uri="{FF2B5EF4-FFF2-40B4-BE49-F238E27FC236}">
              <a16:creationId xmlns:a16="http://schemas.microsoft.com/office/drawing/2014/main" id="{9F613B30-03B6-4C5F-B065-27D8B8D6D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5720" y="106680"/>
          <a:ext cx="655319" cy="392363"/>
        </a:xfrm>
        <a:prstGeom prst="rect">
          <a:avLst/>
        </a:prstGeom>
        <a:ln w="12700">
          <a:solidFill>
            <a:sysClr val="windowText" lastClr="000000"/>
          </a:solidFill>
        </a:ln>
      </xdr:spPr>
    </xdr:pic>
    <xdr:clientData/>
  </xdr:twoCellAnchor>
  <xdr:twoCellAnchor>
    <xdr:from>
      <xdr:col>5</xdr:col>
      <xdr:colOff>434340</xdr:colOff>
      <xdr:row>12</xdr:row>
      <xdr:rowOff>99060</xdr:rowOff>
    </xdr:from>
    <xdr:to>
      <xdr:col>8</xdr:col>
      <xdr:colOff>358140</xdr:colOff>
      <xdr:row>25</xdr:row>
      <xdr:rowOff>160020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0E1569F-EA84-4E70-A343-97DD18AE07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2072640</xdr:colOff>
          <xdr:row>13</xdr:row>
          <xdr:rowOff>45720</xdr:rowOff>
        </xdr:from>
        <xdr:to>
          <xdr:col>8</xdr:col>
          <xdr:colOff>137160</xdr:colOff>
          <xdr:row>14</xdr:row>
          <xdr:rowOff>144780</xdr:rowOff>
        </xdr:to>
        <xdr:sp macro="" textlink="">
          <xdr:nvSpPr>
            <xdr:cNvPr id="5138" name="Spinner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PAN BARUA" refreshedDate="45894.820220023146" createdVersion="8" refreshedVersion="8" minRefreshableVersion="3" recordCount="149" xr:uid="{BB46D352-F9AA-4963-8885-92CD56937683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0F9938-1973-488D-B69B-9B55EF386E90}" name="PivotTable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G6:H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802F8-082F-453C-8325-7F78C9F74A0C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6:B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loyee Total Number of Woking Hours" fld="2" baseField="1" baseItem="0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15C05-9AA5-42E7-92A4-7531629CCB95}">
  <sheetPr codeName="Sheet1"/>
  <dimension ref="A1:I150"/>
  <sheetViews>
    <sheetView zoomScale="130" zoomScaleNormal="130" workbookViewId="0">
      <selection sqref="A1:I150"/>
    </sheetView>
  </sheetViews>
  <sheetFormatPr defaultRowHeight="14.4" x14ac:dyDescent="0.3"/>
  <cols>
    <col min="1" max="1" width="26.88671875" customWidth="1"/>
    <col min="2" max="2" width="13.5546875" customWidth="1"/>
    <col min="3" max="3" width="14" customWidth="1"/>
    <col min="4" max="6" width="13.21875" customWidth="1"/>
    <col min="7" max="7" width="16.21875" customWidth="1"/>
    <col min="8" max="8" width="15.6640625" customWidth="1"/>
    <col min="9" max="9" width="20.4414062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C4E8D-31D3-410F-8BC3-D83AB772985E}">
  <sheetPr codeName="Sheet2"/>
  <dimension ref="A1:Q150"/>
  <sheetViews>
    <sheetView zoomScale="160" zoomScaleNormal="160" workbookViewId="0">
      <selection sqref="A1:Q150"/>
    </sheetView>
  </sheetViews>
  <sheetFormatPr defaultRowHeight="14.4" x14ac:dyDescent="0.3"/>
  <cols>
    <col min="1" max="17" width="11.44140625" customWidth="1"/>
  </cols>
  <sheetData>
    <row r="1" spans="1:17" ht="52.8" x14ac:dyDescent="0.3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7D27A-838C-42F1-ABCE-3509F1B1A9B7}">
  <sheetPr codeName="Sheet3"/>
  <dimension ref="A1:J150"/>
  <sheetViews>
    <sheetView zoomScale="175" zoomScaleNormal="175" workbookViewId="0">
      <selection sqref="A1:J150"/>
    </sheetView>
  </sheetViews>
  <sheetFormatPr defaultRowHeight="14.4" x14ac:dyDescent="0.3"/>
  <cols>
    <col min="1" max="1" width="12.44140625" customWidth="1"/>
    <col min="2" max="2" width="13.44140625" customWidth="1"/>
    <col min="3" max="3" width="10.5546875" customWidth="1"/>
    <col min="4" max="4" width="12.77734375" customWidth="1"/>
    <col min="5" max="5" width="11" customWidth="1"/>
    <col min="9" max="9" width="12.6640625" customWidth="1"/>
    <col min="10" max="10" width="18.109375" customWidth="1"/>
  </cols>
  <sheetData>
    <row r="1" spans="1:10" ht="52.8" x14ac:dyDescent="0.3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3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3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3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3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3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3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3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3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3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3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3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3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3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3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3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3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3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3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3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3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3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3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3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3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3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3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3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3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3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3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3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3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3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3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3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3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3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3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3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3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3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3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3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3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3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3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3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3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3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3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3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3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3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3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3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3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3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3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3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3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3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3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3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3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3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3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3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3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3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3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3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3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3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3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3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3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3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3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3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3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3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3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3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3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3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3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3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3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3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3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3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3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3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3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3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3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3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3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3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3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3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3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3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3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3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3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3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3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3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3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3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3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3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3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3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3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3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3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3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3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3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3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43E53-7D1C-4F73-B918-734AA240DE9D}">
  <sheetPr codeName="Sheet4"/>
  <dimension ref="A1:G150"/>
  <sheetViews>
    <sheetView workbookViewId="0">
      <selection sqref="A1:G150"/>
    </sheetView>
  </sheetViews>
  <sheetFormatPr defaultRowHeight="14.4" x14ac:dyDescent="0.3"/>
  <cols>
    <col min="1" max="1" width="31.109375" customWidth="1"/>
    <col min="2" max="2" width="19.21875" customWidth="1"/>
    <col min="3" max="3" width="16.88671875" style="11" customWidth="1"/>
    <col min="4" max="4" width="14.44140625" style="11" customWidth="1"/>
    <col min="5" max="5" width="16.21875" style="11" customWidth="1"/>
    <col min="6" max="6" width="16.21875" customWidth="1"/>
    <col min="7" max="7" width="17.6640625" style="14" customWidth="1"/>
  </cols>
  <sheetData>
    <row r="1" spans="1:7" ht="28.8" x14ac:dyDescent="0.3">
      <c r="A1" s="7" t="str">
        <f>[1]Break!A1</f>
        <v>Employee</v>
      </c>
      <c r="B1" s="8" t="s">
        <v>1001</v>
      </c>
      <c r="C1" s="10" t="s">
        <v>1002</v>
      </c>
      <c r="D1" s="12" t="s">
        <v>597</v>
      </c>
      <c r="E1" s="12" t="s">
        <v>8</v>
      </c>
      <c r="F1" s="9" t="s">
        <v>598</v>
      </c>
      <c r="G1" s="13" t="s">
        <v>600</v>
      </c>
    </row>
    <row r="2" spans="1:7" x14ac:dyDescent="0.3">
      <c r="A2" t="str">
        <f>DETAILS!A2</f>
        <v>Mum_Abdul Hamid (1008512)</v>
      </c>
      <c r="B2" t="str">
        <f>MID(A2,FIND("_",A2,1)+1,FIND("(",A2,1)-FIND("_",A2,1)-2)</f>
        <v>Abdul Hamid</v>
      </c>
      <c r="C2" s="11">
        <f t="shared" ref="C2:C33" si="0">TIMEVALUE(VLOOKUP(A2,W_Data,2,0))</f>
        <v>0.34424768518518517</v>
      </c>
      <c r="D2" s="11">
        <f t="shared" ref="D2:D33" si="1">TIMEVALUE(VLOOKUP(A2,W_Data,3,0))</f>
        <v>0.20693287037037036</v>
      </c>
      <c r="E2" s="11">
        <f t="shared" ref="E2:E33" si="2">TIMEVALUE(VLOOKUP(A2,D_Data,9,0))</f>
        <v>4.7708333333333332E-2</v>
      </c>
      <c r="F2">
        <f t="shared" ref="F2:F33" si="3">VLOOKUP(A2,P_Data,2,0)</f>
        <v>98</v>
      </c>
      <c r="G2" s="14">
        <f>VLOOKUP(A2,W_Data,6,0)</f>
        <v>0.55697138822580095</v>
      </c>
    </row>
    <row r="3" spans="1:7" x14ac:dyDescent="0.3">
      <c r="A3" t="str">
        <f>DETAILS!A3</f>
        <v>Mum_Afzal Husain (1008513)</v>
      </c>
      <c r="B3" t="str">
        <f t="shared" ref="B3:B66" si="4"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4">
        <f t="shared" ref="G3:G33" si="5">VLOOKUP(A3,W_Data,6,0)</f>
        <v>0.58027306967984904</v>
      </c>
    </row>
    <row r="4" spans="1:7" x14ac:dyDescent="0.3">
      <c r="A4" t="str">
        <f>DETAILS!A4</f>
        <v>Mum_Anamika Gupta (1008514)</v>
      </c>
      <c r="B4" t="str">
        <f t="shared" si="4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4">
        <f t="shared" si="5"/>
        <v>0.51708756749505302</v>
      </c>
    </row>
    <row r="5" spans="1:7" x14ac:dyDescent="0.3">
      <c r="A5" t="str">
        <f>DETAILS!A5</f>
        <v>Mum_Anikuttan (1008515)</v>
      </c>
      <c r="B5" t="str">
        <f t="shared" si="4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4">
        <f t="shared" si="5"/>
        <v>0.47720778337188702</v>
      </c>
    </row>
    <row r="6" spans="1:7" x14ac:dyDescent="0.3">
      <c r="A6" t="str">
        <f>DETAILS!A6</f>
        <v>Mum_Anil Kumar (1008516)</v>
      </c>
      <c r="B6" t="str">
        <f t="shared" si="4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4">
        <f t="shared" si="5"/>
        <v>0.43288831738587802</v>
      </c>
    </row>
    <row r="7" spans="1:7" x14ac:dyDescent="0.3">
      <c r="A7" t="str">
        <f>DETAILS!A7</f>
        <v>Mum_Anita Dixit (1008517)</v>
      </c>
      <c r="B7" t="str">
        <f t="shared" si="4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4">
        <f t="shared" si="5"/>
        <v>0.65495030262646503</v>
      </c>
    </row>
    <row r="8" spans="1:7" x14ac:dyDescent="0.3">
      <c r="A8" t="str">
        <f>DETAILS!A8</f>
        <v>Mum_Anita Ghore (1008518)</v>
      </c>
      <c r="B8" t="str">
        <f t="shared" si="4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4">
        <f t="shared" si="5"/>
        <v>0.49476474931203401</v>
      </c>
    </row>
    <row r="9" spans="1:7" x14ac:dyDescent="0.3">
      <c r="A9" t="str">
        <f>DETAILS!A9</f>
        <v>Mum_Anjali Deoram (1008519)</v>
      </c>
      <c r="B9" t="str">
        <f t="shared" si="4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4">
        <f t="shared" si="5"/>
        <v>0.55128627474469205</v>
      </c>
    </row>
    <row r="10" spans="1:7" x14ac:dyDescent="0.3">
      <c r="A10" t="str">
        <f>DETAILS!A10</f>
        <v>Mum_Anjali Sahay (1008520)</v>
      </c>
      <c r="B10" t="str">
        <f t="shared" si="4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4">
        <f t="shared" si="5"/>
        <v>0.55206432867085597</v>
      </c>
    </row>
    <row r="11" spans="1:7" x14ac:dyDescent="0.3">
      <c r="A11" t="str">
        <f>DETAILS!A11</f>
        <v>Mum_Annu Latika (1008521)</v>
      </c>
      <c r="B11" t="str">
        <f t="shared" si="4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4">
        <f t="shared" si="5"/>
        <v>0.56868945774108703</v>
      </c>
    </row>
    <row r="12" spans="1:7" x14ac:dyDescent="0.3">
      <c r="A12" t="str">
        <f>DETAILS!A12</f>
        <v>Mum_Anoop Narayan (1008522)</v>
      </c>
      <c r="B12" t="str">
        <f t="shared" si="4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4">
        <f t="shared" si="5"/>
        <v>0.56035332087650802</v>
      </c>
    </row>
    <row r="13" spans="1:7" x14ac:dyDescent="0.3">
      <c r="A13" t="str">
        <f>DETAILS!A13</f>
        <v>Mum_Anoop Raj (1008523)</v>
      </c>
      <c r="B13" t="str">
        <f t="shared" si="4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4">
        <f t="shared" si="5"/>
        <v>0.41552495697073999</v>
      </c>
    </row>
    <row r="14" spans="1:7" x14ac:dyDescent="0.3">
      <c r="A14" t="str">
        <f>DETAILS!A14</f>
        <v>Mum_Anubhuti Gupta (1008524)</v>
      </c>
      <c r="B14" t="str">
        <f t="shared" si="4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4">
        <f t="shared" si="5"/>
        <v>0.50026955994339195</v>
      </c>
    </row>
    <row r="15" spans="1:7" x14ac:dyDescent="0.3">
      <c r="A15" t="str">
        <f>DETAILS!A15</f>
        <v>Mum_Arun Kumar (1008525)</v>
      </c>
      <c r="B15" t="str">
        <f t="shared" si="4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4">
        <f t="shared" si="5"/>
        <v>0.51396318166029897</v>
      </c>
    </row>
    <row r="16" spans="1:7" x14ac:dyDescent="0.3">
      <c r="A16" t="str">
        <f>DETAILS!A16</f>
        <v>Mum_Ashish Kumar (1008526)</v>
      </c>
      <c r="B16" t="str">
        <f t="shared" si="4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4">
        <f t="shared" si="5"/>
        <v>0.510580502364264</v>
      </c>
    </row>
    <row r="17" spans="1:7" x14ac:dyDescent="0.3">
      <c r="A17" t="str">
        <f>DETAILS!A17</f>
        <v>Mum_Ashok Kumar (1008527)</v>
      </c>
      <c r="B17" t="str">
        <f t="shared" si="4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4">
        <f t="shared" si="5"/>
        <v>0.48292274174627098</v>
      </c>
    </row>
    <row r="18" spans="1:7" x14ac:dyDescent="0.3">
      <c r="A18" t="str">
        <f>DETAILS!A18</f>
        <v>Hyd_Ashok Kumar (1008528)</v>
      </c>
      <c r="B18" t="str">
        <f t="shared" si="4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4">
        <f t="shared" si="5"/>
        <v>0.57362319861879396</v>
      </c>
    </row>
    <row r="19" spans="1:7" x14ac:dyDescent="0.3">
      <c r="A19" t="str">
        <f>DETAILS!A19</f>
        <v>Hyd_Ashok Kumar (1008529)</v>
      </c>
      <c r="B19" t="str">
        <f t="shared" si="4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4">
        <f t="shared" si="5"/>
        <v>0.56430560681810604</v>
      </c>
    </row>
    <row r="20" spans="1:7" x14ac:dyDescent="0.3">
      <c r="A20" t="str">
        <f>DETAILS!A20</f>
        <v>Hyd_Ashok Kumar (1008530)</v>
      </c>
      <c r="B20" t="str">
        <f t="shared" si="4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4">
        <f t="shared" si="5"/>
        <v>0.46974331693044302</v>
      </c>
    </row>
    <row r="21" spans="1:7" x14ac:dyDescent="0.3">
      <c r="A21" t="str">
        <f>DETAILS!A21</f>
        <v>Hyd_Ashok Mahto (1008531)</v>
      </c>
      <c r="B21" t="str">
        <f t="shared" si="4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4">
        <f t="shared" si="5"/>
        <v>0.57495313336904097</v>
      </c>
    </row>
    <row r="22" spans="1:7" x14ac:dyDescent="0.3">
      <c r="A22" t="str">
        <f>DETAILS!A22</f>
        <v>Hyd_Atul Kumar (1008532)</v>
      </c>
      <c r="B22" t="str">
        <f t="shared" si="4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4">
        <f t="shared" si="5"/>
        <v>0.57945376590932096</v>
      </c>
    </row>
    <row r="23" spans="1:7" x14ac:dyDescent="0.3">
      <c r="A23" t="str">
        <f>DETAILS!A23</f>
        <v>Hyd_Azam (1008533)</v>
      </c>
      <c r="B23" t="str">
        <f t="shared" si="4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4">
        <f t="shared" si="5"/>
        <v>0.588296375695049</v>
      </c>
    </row>
    <row r="24" spans="1:7" x14ac:dyDescent="0.3">
      <c r="A24" t="str">
        <f>DETAILS!A24</f>
        <v>Hyd_Bhagwat Singh (1008534)</v>
      </c>
      <c r="B24" t="str">
        <f t="shared" si="4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4">
        <f t="shared" si="5"/>
        <v>0.46267686976609901</v>
      </c>
    </row>
    <row r="25" spans="1:7" x14ac:dyDescent="0.3">
      <c r="A25" t="str">
        <f>DETAILS!A25</f>
        <v>Hyd_Bindu Nair (1008535)</v>
      </c>
      <c r="B25" t="str">
        <f t="shared" si="4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4">
        <f t="shared" si="5"/>
        <v>0.478030199972793</v>
      </c>
    </row>
    <row r="26" spans="1:7" x14ac:dyDescent="0.3">
      <c r="A26" t="str">
        <f>DETAILS!A26</f>
        <v>Hyd_Daleep Singh (1008536)</v>
      </c>
      <c r="B26" t="str">
        <f t="shared" si="4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4">
        <f t="shared" si="5"/>
        <v>0.59983142279163904</v>
      </c>
    </row>
    <row r="27" spans="1:7" x14ac:dyDescent="0.3">
      <c r="A27" t="str">
        <f>DETAILS!A27</f>
        <v>Hyd_Deepak Kumar (1008537)</v>
      </c>
      <c r="B27" t="str">
        <f t="shared" si="4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4">
        <f t="shared" si="5"/>
        <v>0.65029060203969702</v>
      </c>
    </row>
    <row r="28" spans="1:7" x14ac:dyDescent="0.3">
      <c r="A28" t="str">
        <f>DETAILS!A28</f>
        <v>Hyd_Deepika Nigam (1008538)</v>
      </c>
      <c r="B28" t="str">
        <f t="shared" si="4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4">
        <f t="shared" si="5"/>
        <v>0.55001844461584903</v>
      </c>
    </row>
    <row r="29" spans="1:7" x14ac:dyDescent="0.3">
      <c r="A29" t="str">
        <f>DETAILS!A29</f>
        <v>Hyd_Dinesh Kumar (1008539)</v>
      </c>
      <c r="B29" t="str">
        <f t="shared" si="4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4">
        <f t="shared" si="5"/>
        <v>0.51334660682347399</v>
      </c>
    </row>
    <row r="30" spans="1:7" x14ac:dyDescent="0.3">
      <c r="A30" t="str">
        <f>DETAILS!A30</f>
        <v>Hyd_Hari Kumar (1008540)</v>
      </c>
      <c r="B30" t="str">
        <f t="shared" si="4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4">
        <f t="shared" si="5"/>
        <v>0.43603379219817601</v>
      </c>
    </row>
    <row r="31" spans="1:7" x14ac:dyDescent="0.3">
      <c r="A31" t="str">
        <f>DETAILS!A31</f>
        <v>Hyd_Heeramani Choudhary (1008541)</v>
      </c>
      <c r="B31" t="str">
        <f t="shared" si="4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4">
        <f t="shared" si="5"/>
        <v>0.52954105200417201</v>
      </c>
    </row>
    <row r="32" spans="1:7" x14ac:dyDescent="0.3">
      <c r="A32" t="str">
        <f>DETAILS!A32</f>
        <v>Hyd_Indra Pal (1008542)</v>
      </c>
      <c r="B32" t="str">
        <f t="shared" si="4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4">
        <f t="shared" si="5"/>
        <v>0.56446852102649603</v>
      </c>
    </row>
    <row r="33" spans="1:7" x14ac:dyDescent="0.3">
      <c r="A33" t="str">
        <f>DETAILS!A33</f>
        <v>Hyd_Indra Singh (1008543)</v>
      </c>
      <c r="B33" t="str">
        <f t="shared" si="4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4">
        <f t="shared" si="5"/>
        <v>0.49789043664612898</v>
      </c>
    </row>
    <row r="34" spans="1:7" x14ac:dyDescent="0.3">
      <c r="A34" t="str">
        <f>DETAILS!A34</f>
        <v>Hyd_Jagdish Chandra (1008544)</v>
      </c>
      <c r="B34" t="str">
        <f t="shared" si="4"/>
        <v>Jagdish Chandra</v>
      </c>
      <c r="C34" s="11">
        <f t="shared" ref="C34:C65" si="6">TIMEVALUE(VLOOKUP(A34,W_Data,2,0))</f>
        <v>0.34664351851851855</v>
      </c>
      <c r="D34" s="11">
        <f t="shared" ref="D34:D65" si="7">TIMEVALUE(VLOOKUP(A34,W_Data,3,0))</f>
        <v>0.20781250000000001</v>
      </c>
      <c r="E34" s="11">
        <f t="shared" ref="E34:E65" si="8">TIMEVALUE(VLOOKUP(A34,D_Data,9,0))</f>
        <v>4.7951388888888891E-2</v>
      </c>
      <c r="F34">
        <f t="shared" ref="F34:F65" si="9">VLOOKUP(A34,P_Data,2,0)</f>
        <v>65</v>
      </c>
      <c r="G34" s="14">
        <f t="shared" ref="G34:G65" si="10">VLOOKUP(A34,W_Data,6,0)</f>
        <v>0.56270450751252099</v>
      </c>
    </row>
    <row r="35" spans="1:7" x14ac:dyDescent="0.3">
      <c r="A35" t="str">
        <f>DETAILS!A35</f>
        <v>Hyd_Jairaj Vatham (1008545)</v>
      </c>
      <c r="B35" t="str">
        <f t="shared" si="4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4">
        <f t="shared" si="10"/>
        <v>0.57680556021891705</v>
      </c>
    </row>
    <row r="36" spans="1:7" x14ac:dyDescent="0.3">
      <c r="A36" t="str">
        <f>DETAILS!A36</f>
        <v>Hyd_Janardan Mishra (1008546)</v>
      </c>
      <c r="B36" t="str">
        <f t="shared" si="4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4">
        <f t="shared" si="10"/>
        <v>0.55728373576970502</v>
      </c>
    </row>
    <row r="37" spans="1:7" x14ac:dyDescent="0.3">
      <c r="A37" t="str">
        <f>DETAILS!A37</f>
        <v>Hyd_Jitendra Kumar (1008547)</v>
      </c>
      <c r="B37" t="str">
        <f t="shared" si="4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4">
        <f t="shared" si="10"/>
        <v>0.47590463594126198</v>
      </c>
    </row>
    <row r="38" spans="1:7" x14ac:dyDescent="0.3">
      <c r="A38" t="str">
        <f>DETAILS!A38</f>
        <v>Hyd_John D'Costa (1008548)</v>
      </c>
      <c r="B38" t="str">
        <f t="shared" si="4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4">
        <f t="shared" si="10"/>
        <v>0.55636846224520997</v>
      </c>
    </row>
    <row r="39" spans="1:7" x14ac:dyDescent="0.3">
      <c r="A39" t="str">
        <f>DETAILS!A39</f>
        <v>Hyd_Julie S (1008549)</v>
      </c>
      <c r="B39" t="str">
        <f t="shared" si="4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4">
        <f t="shared" si="10"/>
        <v>0.527970147246689</v>
      </c>
    </row>
    <row r="40" spans="1:7" x14ac:dyDescent="0.3">
      <c r="A40" t="str">
        <f>DETAILS!A40</f>
        <v>Hyd_Jyoti Tulsani (1008550)</v>
      </c>
      <c r="B40" t="str">
        <f t="shared" si="4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4">
        <f t="shared" si="10"/>
        <v>0.565025741108382</v>
      </c>
    </row>
    <row r="41" spans="1:7" x14ac:dyDescent="0.3">
      <c r="A41" t="str">
        <f>DETAILS!A41</f>
        <v>Hyd_Kahkasha Parveen (1008551)</v>
      </c>
      <c r="B41" t="str">
        <f t="shared" si="4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4">
        <f t="shared" si="10"/>
        <v>0.48579278917035301</v>
      </c>
    </row>
    <row r="42" spans="1:7" x14ac:dyDescent="0.3">
      <c r="A42" t="str">
        <f>DETAILS!A42</f>
        <v>Hyd_Kailash Nath (1008552)</v>
      </c>
      <c r="B42" t="str">
        <f t="shared" si="4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4">
        <f t="shared" si="10"/>
        <v>0.572258996673499</v>
      </c>
    </row>
    <row r="43" spans="1:7" x14ac:dyDescent="0.3">
      <c r="A43" t="str">
        <f>DETAILS!A43</f>
        <v>Hyd_Kalpana Agrawal (1008553)</v>
      </c>
      <c r="B43" t="str">
        <f t="shared" si="4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4">
        <f t="shared" si="10"/>
        <v>0.46542627048042201</v>
      </c>
    </row>
    <row r="44" spans="1:7" x14ac:dyDescent="0.3">
      <c r="A44" t="str">
        <f>DETAILS!A44</f>
        <v>Hyd_Kamini Kumar (1008554)</v>
      </c>
      <c r="B44" t="str">
        <f t="shared" si="4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4">
        <f t="shared" si="10"/>
        <v>0.64380836602751801</v>
      </c>
    </row>
    <row r="45" spans="1:7" x14ac:dyDescent="0.3">
      <c r="A45" t="str">
        <f>DETAILS!A45</f>
        <v>Hyd_Kamini Tiwari (1008555)</v>
      </c>
      <c r="B45" t="str">
        <f t="shared" si="4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4">
        <f t="shared" si="10"/>
        <v>0.57347234098533195</v>
      </c>
    </row>
    <row r="46" spans="1:7" x14ac:dyDescent="0.3">
      <c r="A46" t="str">
        <f>DETAILS!A46</f>
        <v>Hyd_Kavita Sharma (1008556)</v>
      </c>
      <c r="B46" t="str">
        <f t="shared" si="4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4">
        <f t="shared" si="10"/>
        <v>0.64717479317021698</v>
      </c>
    </row>
    <row r="47" spans="1:7" x14ac:dyDescent="0.3">
      <c r="A47" t="str">
        <f>DETAILS!A47</f>
        <v>Hyd_Kiran Khubchandani (1008557)</v>
      </c>
      <c r="B47" t="str">
        <f t="shared" si="4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4">
        <f t="shared" si="10"/>
        <v>0.50443090556632497</v>
      </c>
    </row>
    <row r="48" spans="1:7" x14ac:dyDescent="0.3">
      <c r="A48" t="str">
        <f>DETAILS!A48</f>
        <v>Hyd_Kisun Sah (1008558)</v>
      </c>
      <c r="B48" t="str">
        <f t="shared" si="4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4">
        <f t="shared" si="10"/>
        <v>0.55280122283511701</v>
      </c>
    </row>
    <row r="49" spans="1:7" x14ac:dyDescent="0.3">
      <c r="A49" t="str">
        <f>DETAILS!A49</f>
        <v>Hyd_Krishana Kumar (1008559)</v>
      </c>
      <c r="B49" t="str">
        <f t="shared" si="4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4">
        <f t="shared" si="10"/>
        <v>0.55493137782561897</v>
      </c>
    </row>
    <row r="50" spans="1:7" x14ac:dyDescent="0.3">
      <c r="A50" t="str">
        <f>DETAILS!A50</f>
        <v>Hyd_Kunj Bihari (1008560)</v>
      </c>
      <c r="B50" t="str">
        <f t="shared" si="4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4">
        <f t="shared" si="10"/>
        <v>0.55217497131332804</v>
      </c>
    </row>
    <row r="51" spans="1:7" x14ac:dyDescent="0.3">
      <c r="A51" t="str">
        <f>DETAILS!A51</f>
        <v>Hyd_Leena George (1008561)</v>
      </c>
      <c r="B51" t="str">
        <f t="shared" si="4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4">
        <f t="shared" si="10"/>
        <v>0.58819557756147001</v>
      </c>
    </row>
    <row r="52" spans="1:7" x14ac:dyDescent="0.3">
      <c r="A52" t="str">
        <f>DETAILS!A52</f>
        <v>Hyd_Lilly Lucy (1008562)</v>
      </c>
      <c r="B52" t="str">
        <f t="shared" si="4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4">
        <f t="shared" si="10"/>
        <v>0.55534863732407003</v>
      </c>
    </row>
    <row r="53" spans="1:7" x14ac:dyDescent="0.3">
      <c r="A53" t="str">
        <f>DETAILS!A53</f>
        <v>Hyd_Mangal Singh (1008563)</v>
      </c>
      <c r="B53" t="str">
        <f t="shared" si="4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4">
        <f t="shared" si="10"/>
        <v>0.55815083469267301</v>
      </c>
    </row>
    <row r="54" spans="1:7" x14ac:dyDescent="0.3">
      <c r="A54" t="str">
        <f>DETAILS!A54</f>
        <v>Hyd_Manisha Shrivastava (1008564)</v>
      </c>
      <c r="B54" t="str">
        <f t="shared" si="4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4">
        <f t="shared" si="10"/>
        <v>0.53002824185919895</v>
      </c>
    </row>
    <row r="55" spans="1:7" x14ac:dyDescent="0.3">
      <c r="A55" t="str">
        <f>DETAILS!A55</f>
        <v>Hyd_Manjusha Sinha (1008565)</v>
      </c>
      <c r="B55" t="str">
        <f t="shared" si="4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4">
        <f t="shared" si="10"/>
        <v>0.54639905548996504</v>
      </c>
    </row>
    <row r="56" spans="1:7" x14ac:dyDescent="0.3">
      <c r="A56" t="str">
        <f>DETAILS!A56</f>
        <v>Hyd_ManjuTiwari Lab (1008566)</v>
      </c>
      <c r="B56" t="str">
        <f t="shared" si="4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4">
        <f t="shared" si="10"/>
        <v>0.52849609939323905</v>
      </c>
    </row>
    <row r="57" spans="1:7" x14ac:dyDescent="0.3">
      <c r="A57" t="str">
        <f>DETAILS!A57</f>
        <v>Hyd_Manoj Kumar (1008567)</v>
      </c>
      <c r="B57" t="str">
        <f t="shared" si="4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4">
        <f t="shared" si="10"/>
        <v>0.53279711551795905</v>
      </c>
    </row>
    <row r="58" spans="1:7" x14ac:dyDescent="0.3">
      <c r="A58" t="str">
        <f>DETAILS!A58</f>
        <v>Hyd_Manoj Kumar (1008568)</v>
      </c>
      <c r="B58" t="str">
        <f t="shared" si="4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4">
        <f t="shared" si="10"/>
        <v>0.53150089401535605</v>
      </c>
    </row>
    <row r="59" spans="1:7" x14ac:dyDescent="0.3">
      <c r="A59" t="str">
        <f>DETAILS!A59</f>
        <v>Hyd_Masroor Adil (1008569)</v>
      </c>
      <c r="B59" t="str">
        <f t="shared" si="4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4">
        <f t="shared" si="10"/>
        <v>0.58954564004897303</v>
      </c>
    </row>
    <row r="60" spans="1:7" x14ac:dyDescent="0.3">
      <c r="A60" t="str">
        <f>DETAILS!A60</f>
        <v>Hyd_Meena Zinjare (1008570)</v>
      </c>
      <c r="B60" t="str">
        <f t="shared" si="4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4">
        <f t="shared" si="10"/>
        <v>0.34903360911806097</v>
      </c>
    </row>
    <row r="61" spans="1:7" x14ac:dyDescent="0.3">
      <c r="A61" t="str">
        <f>DETAILS!A61</f>
        <v>Hyd_Mehnaz Khan (1008571)</v>
      </c>
      <c r="B61" t="str">
        <f t="shared" si="4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4">
        <f t="shared" si="10"/>
        <v>0.47933717288067101</v>
      </c>
    </row>
    <row r="62" spans="1:7" x14ac:dyDescent="0.3">
      <c r="A62" t="str">
        <f>DETAILS!A62</f>
        <v>Hyd_Mercy Thampi (1008572)</v>
      </c>
      <c r="B62" t="str">
        <f t="shared" si="4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4">
        <f t="shared" si="10"/>
        <v>0.62762080802746201</v>
      </c>
    </row>
    <row r="63" spans="1:7" x14ac:dyDescent="0.3">
      <c r="A63" t="str">
        <f>DETAILS!A63</f>
        <v>Hyd_Miny Mole (1008573)</v>
      </c>
      <c r="B63" t="str">
        <f t="shared" si="4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4">
        <f t="shared" si="10"/>
        <v>0.47561801557737898</v>
      </c>
    </row>
    <row r="64" spans="1:7" x14ac:dyDescent="0.3">
      <c r="A64" t="str">
        <f>DETAILS!A64</f>
        <v>Hyd_Mohd Rafi (1008574)</v>
      </c>
      <c r="B64" t="str">
        <f t="shared" si="4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4">
        <f t="shared" si="10"/>
        <v>0.43635543840177599</v>
      </c>
    </row>
    <row r="65" spans="1:7" x14ac:dyDescent="0.3">
      <c r="A65" t="str">
        <f>DETAILS!A65</f>
        <v>Hyd_Mubeen Khan (1008575)</v>
      </c>
      <c r="B65" t="str">
        <f t="shared" si="4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4">
        <f t="shared" si="10"/>
        <v>0.451270369721395</v>
      </c>
    </row>
    <row r="66" spans="1:7" x14ac:dyDescent="0.3">
      <c r="A66" t="str">
        <f>DETAILS!A66</f>
        <v>Hyd_Mukesh Nagar (1008576)</v>
      </c>
      <c r="B66" t="str">
        <f t="shared" si="4"/>
        <v>Mukesh Nagar</v>
      </c>
      <c r="C66" s="11">
        <f t="shared" ref="C66:C97" si="11">TIMEVALUE(VLOOKUP(A66,W_Data,2,0))</f>
        <v>0.20910879629629631</v>
      </c>
      <c r="D66" s="11">
        <f t="shared" ref="D66:D97" si="12">TIMEVALUE(VLOOKUP(A66,W_Data,3,0))</f>
        <v>0.13449074074074074</v>
      </c>
      <c r="E66" s="11">
        <f t="shared" ref="E66:E97" si="13">TIMEVALUE(VLOOKUP(A66,D_Data,9,0))</f>
        <v>2.0532407407407409E-2</v>
      </c>
      <c r="F66">
        <f t="shared" ref="F66:F97" si="14">VLOOKUP(A66,P_Data,2,0)</f>
        <v>33</v>
      </c>
      <c r="G66" s="14">
        <f t="shared" ref="G66:G97" si="15">VLOOKUP(A66,W_Data,6,0)</f>
        <v>0.61244257486024201</v>
      </c>
    </row>
    <row r="67" spans="1:7" x14ac:dyDescent="0.3">
      <c r="A67" t="str">
        <f>DETAILS!A67</f>
        <v>Hyd_Nandu Kumar (1008577)</v>
      </c>
      <c r="B67" t="str">
        <f t="shared" ref="B67:B130" si="16">MID(A67,FIND("_",A67,1)+1,FIND("(",A67,1)-FIND("_",A67,1)-2)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4">
        <f t="shared" si="15"/>
        <v>0.51755872288115901</v>
      </c>
    </row>
    <row r="68" spans="1:7" x14ac:dyDescent="0.3">
      <c r="A68" t="str">
        <f>DETAILS!A68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4">
        <f t="shared" si="15"/>
        <v>0.55550735760285597</v>
      </c>
    </row>
    <row r="69" spans="1:7" x14ac:dyDescent="0.3">
      <c r="A69" t="str">
        <f>DETAILS!A69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4">
        <f t="shared" si="15"/>
        <v>0.45535862734013899</v>
      </c>
    </row>
    <row r="70" spans="1:7" x14ac:dyDescent="0.3">
      <c r="A70" t="str">
        <f>DETAILS!A70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4">
        <f t="shared" si="15"/>
        <v>0.53445058742225304</v>
      </c>
    </row>
    <row r="71" spans="1:7" x14ac:dyDescent="0.3">
      <c r="A71" t="str">
        <f>DETAILS!A71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4">
        <f t="shared" si="15"/>
        <v>0.55914916459773201</v>
      </c>
    </row>
    <row r="72" spans="1:7" x14ac:dyDescent="0.3">
      <c r="A72" t="str">
        <f>DETAILS!A72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4">
        <f t="shared" si="15"/>
        <v>0.56847106148351101</v>
      </c>
    </row>
    <row r="73" spans="1:7" x14ac:dyDescent="0.3">
      <c r="A73" t="str">
        <f>DETAILS!A73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4">
        <f t="shared" si="15"/>
        <v>0.47509108744394601</v>
      </c>
    </row>
    <row r="74" spans="1:7" x14ac:dyDescent="0.3">
      <c r="A74" t="str">
        <f>DETAILS!A74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4">
        <f t="shared" si="15"/>
        <v>0.47578531804104401</v>
      </c>
    </row>
    <row r="75" spans="1:7" x14ac:dyDescent="0.3">
      <c r="A75" t="str">
        <f>DETAILS!A75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4">
        <f t="shared" si="15"/>
        <v>0.46898271622042897</v>
      </c>
    </row>
    <row r="76" spans="1:7" x14ac:dyDescent="0.3">
      <c r="A76" t="str">
        <f>DETAILS!A76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4">
        <f t="shared" si="15"/>
        <v>0.51361161524500898</v>
      </c>
    </row>
    <row r="77" spans="1:7" x14ac:dyDescent="0.3">
      <c r="A77" t="str">
        <f>DETAILS!A77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4">
        <f t="shared" si="15"/>
        <v>0.525112224318522</v>
      </c>
    </row>
    <row r="78" spans="1:7" x14ac:dyDescent="0.3">
      <c r="A78" t="str">
        <f>DETAILS!A78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4">
        <f t="shared" si="15"/>
        <v>0.348600086352918</v>
      </c>
    </row>
    <row r="79" spans="1:7" x14ac:dyDescent="0.3">
      <c r="A79" t="str">
        <f>DETAILS!A79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4">
        <f t="shared" si="15"/>
        <v>0.314709762532982</v>
      </c>
    </row>
    <row r="80" spans="1:7" x14ac:dyDescent="0.3">
      <c r="A80" t="str">
        <f>DETAILS!A80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4">
        <f t="shared" si="15"/>
        <v>0.55600710333993597</v>
      </c>
    </row>
    <row r="81" spans="1:7" x14ac:dyDescent="0.3">
      <c r="A81" t="str">
        <f>DETAILS!A81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4">
        <f t="shared" si="15"/>
        <v>0.46221628838451301</v>
      </c>
    </row>
    <row r="82" spans="1:7" x14ac:dyDescent="0.3">
      <c r="A82" t="str">
        <f>DETAILS!A82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4">
        <f t="shared" si="15"/>
        <v>0.39075685654008402</v>
      </c>
    </row>
    <row r="83" spans="1:7" x14ac:dyDescent="0.3">
      <c r="A83" t="str">
        <f>DETAILS!A83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4">
        <f t="shared" si="15"/>
        <v>0.54713623850130899</v>
      </c>
    </row>
    <row r="84" spans="1:7" x14ac:dyDescent="0.3">
      <c r="A84" t="str">
        <f>DETAILS!A84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4">
        <f t="shared" si="15"/>
        <v>0.61457229509993805</v>
      </c>
    </row>
    <row r="85" spans="1:7" x14ac:dyDescent="0.3">
      <c r="A85" t="str">
        <f>DETAILS!A85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4">
        <f t="shared" si="15"/>
        <v>0.55335578460387103</v>
      </c>
    </row>
    <row r="86" spans="1:7" x14ac:dyDescent="0.3">
      <c r="A86" t="str">
        <f>DETAILS!A86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4">
        <f t="shared" si="15"/>
        <v>0.611363636363636</v>
      </c>
    </row>
    <row r="87" spans="1:7" x14ac:dyDescent="0.3">
      <c r="A87" t="str">
        <f>DETAILS!A87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4">
        <f t="shared" si="15"/>
        <v>0.51217732689434703</v>
      </c>
    </row>
    <row r="88" spans="1:7" x14ac:dyDescent="0.3">
      <c r="A88" t="str">
        <f>DETAILS!A88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4">
        <f t="shared" si="15"/>
        <v>0.56029910728991705</v>
      </c>
    </row>
    <row r="89" spans="1:7" x14ac:dyDescent="0.3">
      <c r="A89" t="str">
        <f>DETAILS!A89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4">
        <f t="shared" si="15"/>
        <v>0.42891793558819602</v>
      </c>
    </row>
    <row r="90" spans="1:7" x14ac:dyDescent="0.3">
      <c r="A90" t="str">
        <f>DETAILS!A90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4">
        <f t="shared" si="15"/>
        <v>9.4547987000066294E-2</v>
      </c>
    </row>
    <row r="91" spans="1:7" x14ac:dyDescent="0.3">
      <c r="A91" t="str">
        <f>DETAILS!A91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4">
        <f t="shared" si="15"/>
        <v>0.61021533340268397</v>
      </c>
    </row>
    <row r="92" spans="1:7" x14ac:dyDescent="0.3">
      <c r="A92" t="str">
        <f>DETAILS!A92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4">
        <f t="shared" si="15"/>
        <v>0.51260926353863201</v>
      </c>
    </row>
    <row r="93" spans="1:7" x14ac:dyDescent="0.3">
      <c r="A93" t="str">
        <f>DETAILS!A93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4">
        <f t="shared" si="15"/>
        <v>0.62426796562859199</v>
      </c>
    </row>
    <row r="94" spans="1:7" x14ac:dyDescent="0.3">
      <c r="A94" t="str">
        <f>DETAILS!A94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4">
        <f t="shared" si="15"/>
        <v>0.54373153085832704</v>
      </c>
    </row>
    <row r="95" spans="1:7" x14ac:dyDescent="0.3">
      <c r="A95" t="str">
        <f>DETAILS!A95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4">
        <f t="shared" si="15"/>
        <v>0</v>
      </c>
    </row>
    <row r="96" spans="1:7" x14ac:dyDescent="0.3">
      <c r="A96" t="str">
        <f>DETAILS!A96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4">
        <f t="shared" si="15"/>
        <v>0.14431174927516199</v>
      </c>
    </row>
    <row r="97" spans="1:7" x14ac:dyDescent="0.3">
      <c r="A97" t="str">
        <f>DETAILS!A97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4">
        <f t="shared" si="15"/>
        <v>0.55259293866381898</v>
      </c>
    </row>
    <row r="98" spans="1:7" x14ac:dyDescent="0.3">
      <c r="A98" t="str">
        <f>DETAILS!A98</f>
        <v>Del_Rashid (1008608)</v>
      </c>
      <c r="B98" t="str">
        <f t="shared" si="16"/>
        <v>Rashid</v>
      </c>
      <c r="C98" s="11">
        <f t="shared" ref="C98:C129" si="17">TIMEVALUE(VLOOKUP(A98,W_Data,2,0))</f>
        <v>0.33483796296296298</v>
      </c>
      <c r="D98" s="11">
        <f t="shared" ref="D98:D129" si="18">TIMEVALUE(VLOOKUP(A98,W_Data,3,0))</f>
        <v>6.6759259259259254E-2</v>
      </c>
      <c r="E98" s="11">
        <f t="shared" ref="E98:E129" si="19">TIMEVALUE(VLOOKUP(A98,D_Data,9,0))</f>
        <v>0.23973379629629629</v>
      </c>
      <c r="F98">
        <f t="shared" ref="F98:F129" si="20">VLOOKUP(A98,P_Data,2,0)</f>
        <v>55</v>
      </c>
      <c r="G98" s="14">
        <f t="shared" ref="G98:G129" si="21">VLOOKUP(A98,W_Data,6,0)</f>
        <v>0.18938817836156199</v>
      </c>
    </row>
    <row r="99" spans="1:7" x14ac:dyDescent="0.3">
      <c r="A99" t="str">
        <f>DETAILS!A99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4">
        <f t="shared" si="21"/>
        <v>0.47077424938419499</v>
      </c>
    </row>
    <row r="100" spans="1:7" x14ac:dyDescent="0.3">
      <c r="A100" t="str">
        <f>DETAILS!A100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4">
        <f t="shared" si="21"/>
        <v>0.53862155040909698</v>
      </c>
    </row>
    <row r="101" spans="1:7" x14ac:dyDescent="0.3">
      <c r="A101" t="str">
        <f>DETAILS!A101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4">
        <f t="shared" si="21"/>
        <v>0.53294365856189296</v>
      </c>
    </row>
    <row r="102" spans="1:7" x14ac:dyDescent="0.3">
      <c r="A102" t="str">
        <f>DETAILS!A102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4">
        <f t="shared" si="21"/>
        <v>0.41310286360211002</v>
      </c>
    </row>
    <row r="103" spans="1:7" x14ac:dyDescent="0.3">
      <c r="A103" t="str">
        <f>DETAILS!A103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4">
        <f t="shared" si="21"/>
        <v>0.50483838451717</v>
      </c>
    </row>
    <row r="104" spans="1:7" x14ac:dyDescent="0.3">
      <c r="A104" t="str">
        <f>DETAILS!A104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4">
        <f t="shared" si="21"/>
        <v>0.52390558805729304</v>
      </c>
    </row>
    <row r="105" spans="1:7" x14ac:dyDescent="0.3">
      <c r="A105" t="str">
        <f>DETAILS!A105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4">
        <f t="shared" si="21"/>
        <v>0.25444780127559602</v>
      </c>
    </row>
    <row r="106" spans="1:7" x14ac:dyDescent="0.3">
      <c r="A106" t="str">
        <f>DETAILS!A106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4">
        <f t="shared" si="21"/>
        <v>0.55517503805174995</v>
      </c>
    </row>
    <row r="107" spans="1:7" x14ac:dyDescent="0.3">
      <c r="A107" t="str">
        <f>DETAILS!A107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4">
        <f t="shared" si="21"/>
        <v>0</v>
      </c>
    </row>
    <row r="108" spans="1:7" x14ac:dyDescent="0.3">
      <c r="A108" t="str">
        <f>DETAILS!A108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4">
        <f t="shared" si="21"/>
        <v>0.477120667047709</v>
      </c>
    </row>
    <row r="109" spans="1:7" x14ac:dyDescent="0.3">
      <c r="A109" t="str">
        <f>DETAILS!A109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4">
        <f t="shared" si="21"/>
        <v>0.61917030852521004</v>
      </c>
    </row>
    <row r="110" spans="1:7" x14ac:dyDescent="0.3">
      <c r="A110" t="str">
        <f>DETAILS!A110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4">
        <f t="shared" si="21"/>
        <v>0.55305265350039901</v>
      </c>
    </row>
    <row r="111" spans="1:7" x14ac:dyDescent="0.3">
      <c r="A111" t="str">
        <f>DETAILS!A111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4">
        <f t="shared" si="21"/>
        <v>0.56195374478956595</v>
      </c>
    </row>
    <row r="112" spans="1:7" x14ac:dyDescent="0.3">
      <c r="A112" t="str">
        <f>DETAILS!A112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4">
        <f t="shared" si="21"/>
        <v>0.48780077967468699</v>
      </c>
    </row>
    <row r="113" spans="1:7" x14ac:dyDescent="0.3">
      <c r="A113" t="str">
        <f>DETAILS!A113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4">
        <f t="shared" si="21"/>
        <v>0.55414762032804499</v>
      </c>
    </row>
    <row r="114" spans="1:7" x14ac:dyDescent="0.3">
      <c r="A114" t="str">
        <f>DETAILS!A114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4">
        <f t="shared" si="21"/>
        <v>0.58651553374572396</v>
      </c>
    </row>
    <row r="115" spans="1:7" x14ac:dyDescent="0.3">
      <c r="A115" t="str">
        <f>DETAILS!A115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4">
        <f t="shared" si="21"/>
        <v>0.58165871362322696</v>
      </c>
    </row>
    <row r="116" spans="1:7" x14ac:dyDescent="0.3">
      <c r="A116" t="str">
        <f>DETAILS!A116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4">
        <f t="shared" si="21"/>
        <v>0.59073251942286398</v>
      </c>
    </row>
    <row r="117" spans="1:7" x14ac:dyDescent="0.3">
      <c r="A117" t="str">
        <f>DETAILS!A117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4">
        <f t="shared" si="21"/>
        <v>0.58640692060085797</v>
      </c>
    </row>
    <row r="118" spans="1:7" x14ac:dyDescent="0.3">
      <c r="A118" t="str">
        <f>DETAILS!A118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4">
        <f t="shared" si="21"/>
        <v>0.54653369681493502</v>
      </c>
    </row>
    <row r="119" spans="1:7" x14ac:dyDescent="0.3">
      <c r="A119" t="str">
        <f>DETAILS!A119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4">
        <f t="shared" si="21"/>
        <v>0.53238796723342696</v>
      </c>
    </row>
    <row r="120" spans="1:7" x14ac:dyDescent="0.3">
      <c r="A120" t="str">
        <f>DETAILS!A120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4">
        <f t="shared" si="21"/>
        <v>0.47020989660776702</v>
      </c>
    </row>
    <row r="121" spans="1:7" x14ac:dyDescent="0.3">
      <c r="A121" t="str">
        <f>DETAILS!A121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4">
        <f t="shared" si="21"/>
        <v>0.54633099407235797</v>
      </c>
    </row>
    <row r="122" spans="1:7" x14ac:dyDescent="0.3">
      <c r="A122" t="str">
        <f>DETAILS!A122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4">
        <f t="shared" si="21"/>
        <v>0.38820416638756799</v>
      </c>
    </row>
    <row r="123" spans="1:7" x14ac:dyDescent="0.3">
      <c r="A123" t="str">
        <f>DETAILS!A123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4">
        <f t="shared" si="21"/>
        <v>0.40277584042404802</v>
      </c>
    </row>
    <row r="124" spans="1:7" x14ac:dyDescent="0.3">
      <c r="A124" t="str">
        <f>DETAILS!A124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4">
        <f t="shared" si="21"/>
        <v>0.54352584610203702</v>
      </c>
    </row>
    <row r="125" spans="1:7" x14ac:dyDescent="0.3">
      <c r="A125" t="str">
        <f>DETAILS!A125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4">
        <f t="shared" si="21"/>
        <v>0.28371986821932998</v>
      </c>
    </row>
    <row r="126" spans="1:7" x14ac:dyDescent="0.3">
      <c r="A126" t="str">
        <f>DETAILS!A126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4">
        <f t="shared" si="21"/>
        <v>0.56196890539434796</v>
      </c>
    </row>
    <row r="127" spans="1:7" x14ac:dyDescent="0.3">
      <c r="A127" t="str">
        <f>DETAILS!A127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4">
        <f t="shared" si="21"/>
        <v>0.40332201825791802</v>
      </c>
    </row>
    <row r="128" spans="1:7" x14ac:dyDescent="0.3">
      <c r="A128" t="str">
        <f>DETAILS!A128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4">
        <f t="shared" si="21"/>
        <v>0.43796610169491501</v>
      </c>
    </row>
    <row r="129" spans="1:7" x14ac:dyDescent="0.3">
      <c r="A129" t="str">
        <f>DETAILS!A129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4">
        <f t="shared" si="21"/>
        <v>0.55581995508931903</v>
      </c>
    </row>
    <row r="130" spans="1:7" x14ac:dyDescent="0.3">
      <c r="A130" t="str">
        <f>DETAILS!A130</f>
        <v>Del_Shyamal Malakar (1008640)</v>
      </c>
      <c r="B130" t="str">
        <f t="shared" si="16"/>
        <v>Shyamal Malakar</v>
      </c>
      <c r="C130" s="11">
        <f t="shared" ref="C130:C150" si="22">TIMEVALUE(VLOOKUP(A130,W_Data,2,0))</f>
        <v>0.34416666666666668</v>
      </c>
      <c r="D130" s="11">
        <f t="shared" ref="D130:D150" si="23">TIMEVALUE(VLOOKUP(A130,W_Data,3,0))</f>
        <v>0.12054398148148149</v>
      </c>
      <c r="E130" s="11">
        <f t="shared" ref="E130:E150" si="24">TIMEVALUE(VLOOKUP(A130,D_Data,9,0))</f>
        <v>0.19140046296296295</v>
      </c>
      <c r="F130">
        <f t="shared" ref="F130:F150" si="25">VLOOKUP(A130,P_Data,2,0)</f>
        <v>87</v>
      </c>
      <c r="G130" s="14">
        <f t="shared" ref="G130:G150" si="26">VLOOKUP(A130,W_Data,6,0)</f>
        <v>0.326035781544256</v>
      </c>
    </row>
    <row r="131" spans="1:7" x14ac:dyDescent="0.3">
      <c r="A131" t="str">
        <f>DETAILS!A131</f>
        <v>Del_Sneh Khan (1008641)</v>
      </c>
      <c r="B131" t="str">
        <f t="shared" ref="B131:B150" si="27">MID(A131,FIND("_",A131,1)+1,FIND("(",A131,1)-FIND("_",A131,1)-2)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4">
        <f t="shared" si="26"/>
        <v>0.57404190086867701</v>
      </c>
    </row>
    <row r="132" spans="1:7" x14ac:dyDescent="0.3">
      <c r="A132" t="str">
        <f>DETAILS!A132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4">
        <f t="shared" si="26"/>
        <v>0.45359037481363301</v>
      </c>
    </row>
    <row r="133" spans="1:7" x14ac:dyDescent="0.3">
      <c r="A133" t="str">
        <f>DETAILS!A133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4">
        <f t="shared" si="26"/>
        <v>0.29689998979140397</v>
      </c>
    </row>
    <row r="134" spans="1:7" x14ac:dyDescent="0.3">
      <c r="A134" t="str">
        <f>DETAILS!A134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4">
        <f t="shared" si="26"/>
        <v>0.55729058227496697</v>
      </c>
    </row>
    <row r="135" spans="1:7" x14ac:dyDescent="0.3">
      <c r="A135" t="str">
        <f>DETAILS!A135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4">
        <f t="shared" si="26"/>
        <v>0.33279321519685601</v>
      </c>
    </row>
    <row r="136" spans="1:7" x14ac:dyDescent="0.3">
      <c r="A136" t="str">
        <f>DETAILS!A136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4">
        <f t="shared" si="26"/>
        <v>0.472308115165258</v>
      </c>
    </row>
    <row r="137" spans="1:7" x14ac:dyDescent="0.3">
      <c r="A137" t="str">
        <f>DETAILS!A137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4">
        <f t="shared" si="26"/>
        <v>0.51110729613733896</v>
      </c>
    </row>
    <row r="138" spans="1:7" x14ac:dyDescent="0.3">
      <c r="A138" t="str">
        <f>DETAILS!A138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4">
        <f t="shared" si="26"/>
        <v>0.58886040078267299</v>
      </c>
    </row>
    <row r="139" spans="1:7" x14ac:dyDescent="0.3">
      <c r="A139" t="str">
        <f>DETAILS!A139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4">
        <f t="shared" si="26"/>
        <v>0.34289424860853401</v>
      </c>
    </row>
    <row r="140" spans="1:7" x14ac:dyDescent="0.3">
      <c r="A140" t="str">
        <f>DETAILS!A140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4">
        <f t="shared" si="26"/>
        <v>0.497486459313074</v>
      </c>
    </row>
    <row r="141" spans="1:7" x14ac:dyDescent="0.3">
      <c r="A141" t="str">
        <f>DETAILS!A141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4">
        <f t="shared" si="26"/>
        <v>0.52431431936732298</v>
      </c>
    </row>
    <row r="142" spans="1:7" x14ac:dyDescent="0.3">
      <c r="A142" t="str">
        <f>DETAILS!A142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4">
        <f t="shared" si="26"/>
        <v>0.31066956086157999</v>
      </c>
    </row>
    <row r="143" spans="1:7" x14ac:dyDescent="0.3">
      <c r="A143" t="str">
        <f>DETAILS!A143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4">
        <f t="shared" si="26"/>
        <v>0.58462473412336702</v>
      </c>
    </row>
    <row r="144" spans="1:7" x14ac:dyDescent="0.3">
      <c r="A144" t="str">
        <f>DETAILS!A144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4">
        <f t="shared" si="26"/>
        <v>0.31685816164817698</v>
      </c>
    </row>
    <row r="145" spans="1:7" x14ac:dyDescent="0.3">
      <c r="A145" t="str">
        <f>DETAILS!A145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4">
        <f t="shared" si="26"/>
        <v>0.56375322197301903</v>
      </c>
    </row>
    <row r="146" spans="1:7" x14ac:dyDescent="0.3">
      <c r="A146" t="str">
        <f>DETAILS!A146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4">
        <f t="shared" si="26"/>
        <v>0.54779147908918902</v>
      </c>
    </row>
    <row r="147" spans="1:7" x14ac:dyDescent="0.3">
      <c r="A147" t="str">
        <f>DETAILS!A147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4">
        <f t="shared" si="26"/>
        <v>0.37965983593576802</v>
      </c>
    </row>
    <row r="148" spans="1:7" x14ac:dyDescent="0.3">
      <c r="A148" t="str">
        <f>DETAILS!A148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4">
        <f t="shared" si="26"/>
        <v>0.56529498922413801</v>
      </c>
    </row>
    <row r="149" spans="1:7" x14ac:dyDescent="0.3">
      <c r="A149" t="str">
        <f>DETAILS!A149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4">
        <f t="shared" si="26"/>
        <v>0.60261183662128404</v>
      </c>
    </row>
    <row r="150" spans="1:7" x14ac:dyDescent="0.3">
      <c r="A150" t="str">
        <f>DETAILS!A150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>
        <f t="shared" si="25"/>
        <v>107</v>
      </c>
      <c r="G150" s="14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4BD62-BB64-4FDB-99A0-798D1B95FFF7}">
  <sheetPr codeName="Sheet5"/>
  <dimension ref="A1:H11"/>
  <sheetViews>
    <sheetView tabSelected="1" workbookViewId="0">
      <selection activeCell="E2" sqref="E2"/>
    </sheetView>
  </sheetViews>
  <sheetFormatPr defaultRowHeight="14.4" x14ac:dyDescent="0.3"/>
  <cols>
    <col min="1" max="1" width="13.21875" bestFit="1" customWidth="1"/>
    <col min="2" max="2" width="47.44140625" customWidth="1"/>
    <col min="7" max="7" width="21.88671875" customWidth="1"/>
    <col min="8" max="8" width="31" customWidth="1"/>
  </cols>
  <sheetData>
    <row r="1" spans="1:8" x14ac:dyDescent="0.3">
      <c r="A1" s="18"/>
      <c r="B1" s="18"/>
      <c r="C1" s="19">
        <v>5</v>
      </c>
      <c r="F1" s="20">
        <v>5</v>
      </c>
      <c r="G1" s="18"/>
      <c r="H1" s="18"/>
    </row>
    <row r="2" spans="1:8" x14ac:dyDescent="0.3">
      <c r="A2" s="18"/>
      <c r="B2" s="18"/>
      <c r="G2" s="18"/>
      <c r="H2" s="18"/>
    </row>
    <row r="3" spans="1:8" x14ac:dyDescent="0.3">
      <c r="A3" s="18"/>
      <c r="B3" s="18"/>
      <c r="G3" s="18"/>
      <c r="H3" s="18"/>
    </row>
    <row r="4" spans="1:8" ht="14.4" customHeight="1" x14ac:dyDescent="0.3">
      <c r="A4" s="21" t="s">
        <v>1010</v>
      </c>
      <c r="B4" s="21"/>
      <c r="G4" s="21" t="s">
        <v>1012</v>
      </c>
      <c r="H4" s="21"/>
    </row>
    <row r="5" spans="1:8" ht="14.4" customHeight="1" x14ac:dyDescent="0.3">
      <c r="A5" s="21"/>
      <c r="B5" s="21"/>
      <c r="G5" s="21"/>
      <c r="H5" s="21"/>
    </row>
    <row r="6" spans="1:8" x14ac:dyDescent="0.3">
      <c r="A6" s="15" t="s">
        <v>1003</v>
      </c>
      <c r="B6" t="s">
        <v>1009</v>
      </c>
      <c r="G6" s="15" t="s">
        <v>1003</v>
      </c>
      <c r="H6" t="s">
        <v>1011</v>
      </c>
    </row>
    <row r="7" spans="1:8" x14ac:dyDescent="0.3">
      <c r="A7" s="16" t="s">
        <v>1004</v>
      </c>
      <c r="B7" s="17">
        <v>1.3668402777777779</v>
      </c>
      <c r="G7" s="16" t="s">
        <v>1004</v>
      </c>
      <c r="H7" s="14">
        <v>2.0905948641136138</v>
      </c>
    </row>
    <row r="8" spans="1:8" x14ac:dyDescent="0.3">
      <c r="A8" s="16" t="s">
        <v>1005</v>
      </c>
      <c r="B8" s="17">
        <v>0.66396990740740747</v>
      </c>
      <c r="G8" s="16" t="s">
        <v>1005</v>
      </c>
      <c r="H8" s="14">
        <v>1.064298009533315</v>
      </c>
    </row>
    <row r="9" spans="1:8" x14ac:dyDescent="0.3">
      <c r="A9" s="16" t="s">
        <v>1006</v>
      </c>
      <c r="B9" s="17">
        <v>0.67937500000000006</v>
      </c>
      <c r="G9" s="16" t="s">
        <v>1006</v>
      </c>
      <c r="H9" s="14">
        <v>1.122824596941316</v>
      </c>
    </row>
    <row r="10" spans="1:8" x14ac:dyDescent="0.3">
      <c r="A10" s="16" t="s">
        <v>1007</v>
      </c>
      <c r="B10" s="17">
        <v>1.0142939814814815</v>
      </c>
      <c r="G10" s="16" t="s">
        <v>1007</v>
      </c>
      <c r="H10" s="14">
        <v>1.7236731368386569</v>
      </c>
    </row>
    <row r="11" spans="1:8" x14ac:dyDescent="0.3">
      <c r="A11" s="16" t="s">
        <v>1008</v>
      </c>
      <c r="B11" s="17">
        <v>0.67259259259259263</v>
      </c>
      <c r="G11" s="16" t="s">
        <v>1008</v>
      </c>
      <c r="H11" s="14">
        <v>0.80510133036211395</v>
      </c>
    </row>
  </sheetData>
  <mergeCells count="2">
    <mergeCell ref="A4:B5"/>
    <mergeCell ref="G4:H5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6" name="Spinner 5">
              <controlPr defaultSize="0" autoPict="0" macro="[0]!Spinner1_Code">
                <anchor moveWithCells="1" sizeWithCells="1">
                  <from>
                    <xdr:col>2</xdr:col>
                    <xdr:colOff>563880</xdr:colOff>
                    <xdr:row>12</xdr:row>
                    <xdr:rowOff>83820</xdr:rowOff>
                  </from>
                  <to>
                    <xdr:col>3</xdr:col>
                    <xdr:colOff>220980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Spinner 12">
              <controlPr defaultSize="0" autoPict="0" macro="[0]!Spinner12_Code">
                <anchor moveWithCells="1" sizeWithCells="1">
                  <from>
                    <xdr:col>7</xdr:col>
                    <xdr:colOff>449580</xdr:colOff>
                    <xdr:row>0</xdr:row>
                    <xdr:rowOff>121920</xdr:rowOff>
                  </from>
                  <to>
                    <xdr:col>7</xdr:col>
                    <xdr:colOff>716280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8" name="Spinner 1">
              <controlPr defaultSize="0" autoPict="0" macro="[0]!Spinner1_Code">
                <anchor moveWithCells="1" sizeWithCells="1">
                  <from>
                    <xdr:col>1</xdr:col>
                    <xdr:colOff>1379220</xdr:colOff>
                    <xdr:row>0</xdr:row>
                    <xdr:rowOff>121920</xdr:rowOff>
                  </from>
                  <to>
                    <xdr:col>1</xdr:col>
                    <xdr:colOff>1645920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9" name="Spinner 18">
              <controlPr defaultSize="0" autoPict="0" macro="[0]!Spinner12_Code">
                <anchor moveWithCells="1" sizeWithCells="1">
                  <from>
                    <xdr:col>7</xdr:col>
                    <xdr:colOff>2072640</xdr:colOff>
                    <xdr:row>13</xdr:row>
                    <xdr:rowOff>45720</xdr:rowOff>
                  </from>
                  <to>
                    <xdr:col>8</xdr:col>
                    <xdr:colOff>137160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DETAILS</vt:lpstr>
      <vt:lpstr>WORK</vt:lpstr>
      <vt:lpstr>PERFORMENCE</vt:lpstr>
      <vt:lpstr>SUMMARY</vt:lpstr>
      <vt:lpstr>DASHBOARD</vt:lpstr>
      <vt:lpstr>D_Data</vt:lpstr>
      <vt:lpstr>P_Data</vt:lpstr>
      <vt:lpstr>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ARPAN BARUA</dc:creator>
  <cp:lastModifiedBy>ARPAN BARUA</cp:lastModifiedBy>
  <dcterms:created xsi:type="dcterms:W3CDTF">2025-08-25T10:10:59Z</dcterms:created>
  <dcterms:modified xsi:type="dcterms:W3CDTF">2025-08-26T06:48:13Z</dcterms:modified>
</cp:coreProperties>
</file>